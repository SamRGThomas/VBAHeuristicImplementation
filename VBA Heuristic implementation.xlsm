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th\Documents\MSc S1\"/>
    </mc:Choice>
  </mc:AlternateContent>
  <xr:revisionPtr revIDLastSave="0" documentId="8_{519136BF-A7E1-4320-BE8B-B6A134D4827B}" xr6:coauthVersionLast="33" xr6:coauthVersionMax="33" xr10:uidLastSave="{00000000-0000-0000-0000-000000000000}"/>
  <bookViews>
    <workbookView xWindow="0" yWindow="0" windowWidth="23760" windowHeight="11340" activeTab="4" xr2:uid="{00000000-000D-0000-FFFF-FFFF00000000}"/>
  </bookViews>
  <sheets>
    <sheet name="visitor 1" sheetId="2" r:id="rId1"/>
    <sheet name="visitor 2" sheetId="3" r:id="rId2"/>
    <sheet name="visitor 3" sheetId="4" r:id="rId3"/>
    <sheet name="visitor 4" sheetId="5" r:id="rId4"/>
    <sheet name="visitor 5" sheetId="6" r:id="rId5"/>
    <sheet name="Attractions and travelling time" sheetId="1" r:id="rId6"/>
    <sheet name="Figures" sheetId="12" r:id="rId7"/>
  </sheets>
  <functionGroups builtInGroupCount="19"/>
  <externalReferences>
    <externalReference r:id="rId8"/>
  </externalReferences>
  <definedNames>
    <definedName name="_xlnm._FilterDatabase" localSheetId="0" hidden="1">'visitor 1'!$A$4:$D$47</definedName>
    <definedName name="_xlnm._FilterDatabase" localSheetId="1" hidden="1">'visitor 2'!$A$4:$D$47</definedName>
    <definedName name="_xlnm._FilterDatabase" localSheetId="2" hidden="1">'visitor 3'!$A$4:$D$47</definedName>
    <definedName name="_xlnm._FilterDatabase" localSheetId="3" hidden="1">'visitor 4'!$A$4:$D$47</definedName>
    <definedName name="_xlnm._FilterDatabase" localSheetId="4" hidden="1">'visitor 5'!$A$4:$D$47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3" l="1"/>
  <c r="N7" i="3"/>
  <c r="N8" i="3"/>
  <c r="N9" i="3"/>
  <c r="N6" i="4"/>
  <c r="N7" i="4"/>
  <c r="N8" i="4"/>
  <c r="N9" i="4"/>
  <c r="N6" i="5"/>
  <c r="N7" i="5"/>
  <c r="N8" i="5"/>
  <c r="N9" i="5"/>
  <c r="N6" i="6"/>
  <c r="N7" i="6"/>
  <c r="N8" i="6"/>
  <c r="N9" i="6"/>
  <c r="N6" i="2"/>
  <c r="N7" i="2"/>
  <c r="N8" i="2"/>
  <c r="N9" i="2"/>
  <c r="N5" i="3"/>
  <c r="N5" i="4"/>
  <c r="N5" i="5"/>
  <c r="N5" i="6"/>
  <c r="N5" i="2"/>
  <c r="G21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26" i="2"/>
  <c r="J25" i="2"/>
  <c r="J24" i="2"/>
  <c r="J23" i="2"/>
  <c r="J22" i="2"/>
  <c r="J21" i="2"/>
  <c r="J20" i="2"/>
  <c r="J19" i="2"/>
  <c r="K13" i="2"/>
  <c r="K14" i="2" s="1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5" i="3"/>
  <c r="J26" i="3"/>
  <c r="G25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J24" i="3"/>
  <c r="K14" i="3"/>
  <c r="K15" i="3" s="1"/>
  <c r="K13" i="3"/>
  <c r="N13" i="3" s="1"/>
  <c r="K13" i="4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5" i="5"/>
  <c r="G34" i="5"/>
  <c r="G35" i="5"/>
  <c r="G36" i="5"/>
  <c r="G37" i="5"/>
  <c r="G38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K14" i="5"/>
  <c r="K15" i="5" s="1"/>
  <c r="K13" i="5"/>
  <c r="N13" i="5" s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3" i="6"/>
  <c r="J5" i="6"/>
  <c r="G23" i="6"/>
  <c r="L13" i="5" l="1"/>
  <c r="N13" i="4"/>
  <c r="N14" i="2"/>
  <c r="K15" i="2"/>
  <c r="M13" i="2"/>
  <c r="L13" i="2"/>
  <c r="N13" i="2"/>
  <c r="M13" i="3"/>
  <c r="L13" i="3"/>
  <c r="L15" i="3"/>
  <c r="M14" i="3"/>
  <c r="K16" i="3"/>
  <c r="N15" i="3"/>
  <c r="L14" i="3"/>
  <c r="N14" i="3"/>
  <c r="K14" i="4"/>
  <c r="N15" i="5"/>
  <c r="L15" i="5"/>
  <c r="K16" i="5"/>
  <c r="L14" i="5"/>
  <c r="N14" i="5"/>
  <c r="K12" i="2"/>
  <c r="K12" i="3"/>
  <c r="K12" i="4"/>
  <c r="K12" i="5"/>
  <c r="K12" i="6"/>
  <c r="G22" i="2"/>
  <c r="L14" i="2" s="1"/>
  <c r="G23" i="2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5" i="4"/>
  <c r="J5" i="4"/>
  <c r="J5" i="5"/>
  <c r="M14" i="5" s="1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K13" i="6"/>
  <c r="K14" i="6" s="1"/>
  <c r="N14" i="6" s="1"/>
  <c r="J41" i="2"/>
  <c r="J41" i="3"/>
  <c r="J41" i="4"/>
  <c r="M13" i="6" l="1"/>
  <c r="M13" i="5"/>
  <c r="M13" i="4"/>
  <c r="L13" i="4"/>
  <c r="L13" i="6"/>
  <c r="K16" i="2"/>
  <c r="N15" i="2"/>
  <c r="L15" i="2"/>
  <c r="M14" i="2"/>
  <c r="K17" i="3"/>
  <c r="N16" i="3"/>
  <c r="L16" i="3"/>
  <c r="M15" i="3"/>
  <c r="N14" i="4"/>
  <c r="K15" i="4"/>
  <c r="L14" i="4"/>
  <c r="M15" i="5"/>
  <c r="K17" i="5"/>
  <c r="N16" i="5"/>
  <c r="L16" i="5"/>
  <c r="L14" i="6"/>
  <c r="N13" i="6"/>
  <c r="K15" i="6"/>
  <c r="L15" i="6" s="1"/>
  <c r="K17" i="2" l="1"/>
  <c r="M15" i="2"/>
  <c r="N16" i="2"/>
  <c r="L16" i="2"/>
  <c r="L17" i="3"/>
  <c r="N17" i="3"/>
  <c r="M16" i="3"/>
  <c r="K18" i="3"/>
  <c r="L15" i="4"/>
  <c r="M14" i="4"/>
  <c r="K16" i="4"/>
  <c r="N15" i="4"/>
  <c r="N17" i="5"/>
  <c r="K18" i="5"/>
  <c r="L17" i="5"/>
  <c r="M16" i="5"/>
  <c r="M14" i="6"/>
  <c r="N15" i="6"/>
  <c r="K16" i="6"/>
  <c r="L16" i="6" s="1"/>
  <c r="E9" i="12"/>
  <c r="E14" i="12"/>
  <c r="E18" i="12"/>
  <c r="E24" i="12"/>
  <c r="E29" i="12"/>
  <c r="D29" i="12"/>
  <c r="D24" i="12"/>
  <c r="D18" i="12"/>
  <c r="D14" i="12"/>
  <c r="D9" i="12"/>
  <c r="F27" i="12"/>
  <c r="F22" i="12"/>
  <c r="F12" i="12"/>
  <c r="F16" i="12"/>
  <c r="F7" i="12"/>
  <c r="F17" i="12"/>
  <c r="N12" i="2"/>
  <c r="N12" i="3"/>
  <c r="N12" i="4"/>
  <c r="N12" i="5"/>
  <c r="F18" i="12" l="1"/>
  <c r="L17" i="2"/>
  <c r="N17" i="2"/>
  <c r="K18" i="2"/>
  <c r="M16" i="2"/>
  <c r="M17" i="3"/>
  <c r="K19" i="3"/>
  <c r="N18" i="3"/>
  <c r="L18" i="3"/>
  <c r="N16" i="4"/>
  <c r="M15" i="4"/>
  <c r="K17" i="4"/>
  <c r="L16" i="4"/>
  <c r="M17" i="5"/>
  <c r="K19" i="5"/>
  <c r="N18" i="5"/>
  <c r="L18" i="5"/>
  <c r="F24" i="12"/>
  <c r="F29" i="12"/>
  <c r="F14" i="12"/>
  <c r="F9" i="12"/>
  <c r="M15" i="6"/>
  <c r="N16" i="6"/>
  <c r="K17" i="6"/>
  <c r="L17" i="6" s="1"/>
  <c r="K19" i="2" l="1"/>
  <c r="M17" i="2"/>
  <c r="N18" i="2"/>
  <c r="L18" i="2"/>
  <c r="L19" i="3"/>
  <c r="K20" i="3"/>
  <c r="N19" i="3"/>
  <c r="M18" i="3"/>
  <c r="L17" i="4"/>
  <c r="M16" i="4"/>
  <c r="K18" i="4"/>
  <c r="N17" i="4"/>
  <c r="N19" i="5"/>
  <c r="L19" i="5"/>
  <c r="M18" i="5"/>
  <c r="K20" i="5"/>
  <c r="M16" i="6"/>
  <c r="N17" i="6"/>
  <c r="K18" i="6"/>
  <c r="L18" i="6" s="1"/>
  <c r="L19" i="2" l="1"/>
  <c r="K20" i="2"/>
  <c r="M18" i="2"/>
  <c r="N19" i="2"/>
  <c r="K21" i="3"/>
  <c r="M19" i="3"/>
  <c r="N20" i="3"/>
  <c r="L20" i="3"/>
  <c r="M17" i="4"/>
  <c r="K19" i="4"/>
  <c r="N18" i="4"/>
  <c r="L18" i="4"/>
  <c r="M19" i="5"/>
  <c r="K21" i="5"/>
  <c r="N20" i="5"/>
  <c r="L20" i="5"/>
  <c r="M17" i="6"/>
  <c r="N18" i="6"/>
  <c r="K19" i="6"/>
  <c r="L19" i="6" s="1"/>
  <c r="K21" i="2" l="1"/>
  <c r="M19" i="2"/>
  <c r="N20" i="2"/>
  <c r="L20" i="2"/>
  <c r="L21" i="3"/>
  <c r="N21" i="3"/>
  <c r="M20" i="3"/>
  <c r="K22" i="3"/>
  <c r="L19" i="4"/>
  <c r="M18" i="4"/>
  <c r="K20" i="4"/>
  <c r="N19" i="4"/>
  <c r="N21" i="5"/>
  <c r="M20" i="5"/>
  <c r="L21" i="5"/>
  <c r="K22" i="5"/>
  <c r="M18" i="6"/>
  <c r="N19" i="6"/>
  <c r="K20" i="6"/>
  <c r="L20" i="6" s="1"/>
  <c r="K22" i="2" l="1"/>
  <c r="M20" i="2"/>
  <c r="N21" i="2"/>
  <c r="L21" i="2"/>
  <c r="M21" i="3"/>
  <c r="K23" i="3"/>
  <c r="N22" i="3"/>
  <c r="L22" i="3"/>
  <c r="K21" i="4"/>
  <c r="N20" i="4"/>
  <c r="M19" i="4"/>
  <c r="L20" i="4"/>
  <c r="M21" i="5"/>
  <c r="K23" i="5"/>
  <c r="N22" i="5"/>
  <c r="L22" i="5"/>
  <c r="M19" i="6"/>
  <c r="N20" i="6"/>
  <c r="K21" i="6"/>
  <c r="L21" i="6" s="1"/>
  <c r="N22" i="2" l="1"/>
  <c r="L22" i="2"/>
  <c r="K23" i="2"/>
  <c r="M21" i="2"/>
  <c r="L23" i="3"/>
  <c r="M22" i="3"/>
  <c r="N23" i="3"/>
  <c r="M23" i="3"/>
  <c r="L21" i="4"/>
  <c r="M20" i="4"/>
  <c r="K22" i="4"/>
  <c r="N21" i="4"/>
  <c r="N23" i="5"/>
  <c r="M23" i="5"/>
  <c r="L23" i="5"/>
  <c r="M22" i="5"/>
  <c r="M20" i="6"/>
  <c r="N21" i="6"/>
  <c r="K22" i="6"/>
  <c r="L22" i="6" s="1"/>
  <c r="N23" i="2" l="1"/>
  <c r="M23" i="2"/>
  <c r="L23" i="2"/>
  <c r="M22" i="2"/>
  <c r="K23" i="4"/>
  <c r="N22" i="4"/>
  <c r="M21" i="4"/>
  <c r="L22" i="4"/>
  <c r="M21" i="6"/>
  <c r="N22" i="6"/>
  <c r="K23" i="6"/>
  <c r="L23" i="4" l="1"/>
  <c r="M22" i="4"/>
  <c r="M23" i="4"/>
  <c r="N23" i="4"/>
  <c r="N23" i="6"/>
  <c r="L23" i="6"/>
  <c r="M22" i="6"/>
  <c r="M23" i="6"/>
</calcChain>
</file>

<file path=xl/sharedStrings.xml><?xml version="1.0" encoding="utf-8"?>
<sst xmlns="http://schemas.openxmlformats.org/spreadsheetml/2006/main" count="423" uniqueCount="77">
  <si>
    <t>bath train station</t>
  </si>
  <si>
    <t>American Museum in Britain, Bath</t>
  </si>
  <si>
    <t>bath abbey</t>
  </si>
  <si>
    <t>bath assembly rooms</t>
  </si>
  <si>
    <t>Bath Postal Museum, Bath</t>
  </si>
  <si>
    <t>Bath Royal literacy and scientific institution, Bath</t>
  </si>
  <si>
    <t>Bath Two Tunnels Circuit</t>
  </si>
  <si>
    <t>Beazer Garden Maze, Bath</t>
  </si>
  <si>
    <t>Beckford's Tower, Bath</t>
  </si>
  <si>
    <t>Claverton Pumping Station, Bath</t>
  </si>
  <si>
    <t>Dundas Aqueduct, Bath</t>
  </si>
  <si>
    <t>Dyrham Park, Bath</t>
  </si>
  <si>
    <t>Georgian Garden, Bath</t>
  </si>
  <si>
    <t>grand pump room, bah</t>
  </si>
  <si>
    <t>great pultney street bath</t>
  </si>
  <si>
    <t>guildhall bath</t>
  </si>
  <si>
    <t>Herschel Museum of Astronomy, Bath</t>
  </si>
  <si>
    <t>Holburne Museum of Art, Bath</t>
  </si>
  <si>
    <t>jane austen centre bath</t>
  </si>
  <si>
    <t>Landsdown Crescent Bath</t>
  </si>
  <si>
    <t>Museum of Bath Architecture, Bath</t>
  </si>
  <si>
    <t>museum of bath at work, Bath</t>
  </si>
  <si>
    <t>Museum of East Asian art, Bath</t>
  </si>
  <si>
    <t>Old Orchard Street Theatre, Bath</t>
  </si>
  <si>
    <t>Parade gardens, bath</t>
  </si>
  <si>
    <t>Prior Park Landscape Garden, Bath</t>
  </si>
  <si>
    <t>Pultney Bridge, Bath</t>
  </si>
  <si>
    <t>Queen Square, Bath</t>
  </si>
  <si>
    <t>Quercus Gallery, Bath</t>
  </si>
  <si>
    <t>Recreational Ground, Bath</t>
  </si>
  <si>
    <t>River Avon, Bath</t>
  </si>
  <si>
    <t>Roman Baths, Bath</t>
  </si>
  <si>
    <t>Royal Crescent, Bath</t>
  </si>
  <si>
    <t>Royal Mineral Water Hospital Bath</t>
  </si>
  <si>
    <t>Royal Victoria Park and botanical , Bath</t>
  </si>
  <si>
    <t>Sally Lunn's refreshment house and museum, Bath</t>
  </si>
  <si>
    <t>Solsbury's Hill, Bath</t>
  </si>
  <si>
    <t>St Catherine's Court, Bath</t>
  </si>
  <si>
    <t>St Mary's Churchyard, Bath</t>
  </si>
  <si>
    <t>St Nicholas Church, Bath</t>
  </si>
  <si>
    <t>the circus, bath</t>
  </si>
  <si>
    <t>Theatre Royal, Bath</t>
  </si>
  <si>
    <t>Thermae Bath Spa</t>
  </si>
  <si>
    <t>Victoria Art Gallery, Bath</t>
  </si>
  <si>
    <t>Travelling times (minutes)</t>
  </si>
  <si>
    <t>Interest</t>
  </si>
  <si>
    <t>Time Available</t>
  </si>
  <si>
    <t xml:space="preserve">timespent (minutes) </t>
  </si>
  <si>
    <t>days</t>
  </si>
  <si>
    <t>minutes</t>
  </si>
  <si>
    <t>Const Solution</t>
  </si>
  <si>
    <t>LS Solution</t>
  </si>
  <si>
    <t>Day 1</t>
  </si>
  <si>
    <t>Day 2</t>
  </si>
  <si>
    <t>Day 3</t>
  </si>
  <si>
    <t>Total time</t>
  </si>
  <si>
    <t>Routes</t>
  </si>
  <si>
    <t>Local search</t>
  </si>
  <si>
    <t>Constructive</t>
  </si>
  <si>
    <t>Summary results</t>
  </si>
  <si>
    <t>Improvement</t>
  </si>
  <si>
    <t>Visitor 1</t>
  </si>
  <si>
    <t>Visitor 2</t>
  </si>
  <si>
    <t>Visitor 3</t>
  </si>
  <si>
    <t>Visitor 4</t>
  </si>
  <si>
    <t>Visitor 5</t>
  </si>
  <si>
    <t>Day utilisation</t>
  </si>
  <si>
    <t>Change</t>
  </si>
  <si>
    <t>Frequency</t>
  </si>
  <si>
    <t>All locations</t>
  </si>
  <si>
    <t>Frequency distributions</t>
  </si>
  <si>
    <t>Global interest scores</t>
  </si>
  <si>
    <t>Constructive scores</t>
  </si>
  <si>
    <t>LS Addition</t>
  </si>
  <si>
    <t>Interest/minute</t>
  </si>
  <si>
    <t>Solutions to the algorithm will be held on the relevant visitor tabs. Click run to see solutions.                           To see output change on change of time available, simply change time.</t>
  </si>
  <si>
    <t>Solutions to the algorithm will be held on the relevant visitor tabs. Click run to see solutions.                                       To see output change on change of time available, simply change time.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</si>
</sst>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"/>
  </numFmts>
  <fonts count="2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indexed="8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6"/>
      <color indexed="8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09">
    <xf numFmtId="0" fontId="0" fillId="0" borderId="0" xfId="0"/>
    <xf numFmtId="0" fontId="0" fillId="0" borderId="5" xfId="0" applyBorder="1"/>
    <xf numFmtId="0" fontId="0" fillId="0" borderId="7" xfId="0" applyBorder="1"/>
    <xf numFmtId="0" fontId="0" fillId="0" borderId="1" xfId="0" applyBorder="1"/>
    <xf numFmtId="0" fontId="0" fillId="0" borderId="3" xfId="0" applyBorder="1" applyAlignment="1">
      <alignment textRotation="90"/>
    </xf>
    <xf numFmtId="0" fontId="0" fillId="0" borderId="4" xfId="0" applyBorder="1" applyAlignment="1">
      <alignment textRotation="90"/>
    </xf>
    <xf numFmtId="0" fontId="1" fillId="0" borderId="1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1" fontId="0" fillId="0" borderId="2" xfId="0" applyNumberFormat="1" applyBorder="1"/>
    <xf numFmtId="1" fontId="0" fillId="0" borderId="3" xfId="0" applyNumberFormat="1" applyBorder="1"/>
    <xf numFmtId="1" fontId="0" fillId="0" borderId="4" xfId="0" applyNumberFormat="1" applyBorder="1"/>
    <xf numFmtId="1" fontId="0" fillId="0" borderId="5" xfId="0" applyNumberFormat="1" applyBorder="1"/>
    <xf numFmtId="1" fontId="0" fillId="0" borderId="0" xfId="0" applyNumberFormat="1" applyBorder="1"/>
    <xf numFmtId="1" fontId="0" fillId="0" borderId="6" xfId="0" applyNumberFormat="1" applyBorder="1"/>
    <xf numFmtId="1" fontId="0" fillId="0" borderId="7" xfId="0" applyNumberFormat="1" applyBorder="1"/>
    <xf numFmtId="1" fontId="0" fillId="0" borderId="8" xfId="0" applyNumberFormat="1" applyBorder="1"/>
    <xf numFmtId="1" fontId="0" fillId="0" borderId="9" xfId="0" applyNumberFormat="1" applyBorder="1"/>
    <xf numFmtId="0" fontId="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5" fillId="0" borderId="0" xfId="0" applyFont="1" applyAlignment="1"/>
    <xf numFmtId="0" fontId="2" fillId="2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0" fillId="0" borderId="0" xfId="0" applyBorder="1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 applyAlignment="1"/>
    <xf numFmtId="0" fontId="2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1" fontId="0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5" borderId="0" xfId="0" applyFill="1"/>
    <xf numFmtId="0" fontId="11" fillId="5" borderId="0" xfId="0" applyFont="1" applyFill="1"/>
    <xf numFmtId="0" fontId="12" fillId="5" borderId="0" xfId="0" applyFont="1" applyFill="1" applyBorder="1" applyAlignment="1">
      <alignment horizontal="left"/>
    </xf>
    <xf numFmtId="0" fontId="11" fillId="5" borderId="0" xfId="0" applyFont="1" applyFill="1" applyBorder="1" applyAlignment="1">
      <alignment horizontal="center"/>
    </xf>
    <xf numFmtId="0" fontId="15" fillId="5" borderId="0" xfId="0" applyFont="1" applyFill="1" applyBorder="1" applyAlignment="1">
      <alignment horizontal="center"/>
    </xf>
    <xf numFmtId="0" fontId="13" fillId="5" borderId="0" xfId="0" applyFont="1" applyFill="1" applyBorder="1" applyAlignment="1">
      <alignment horizontal="left"/>
    </xf>
    <xf numFmtId="9" fontId="11" fillId="5" borderId="0" xfId="2" applyFont="1" applyFill="1" applyBorder="1" applyAlignment="1">
      <alignment horizontal="center"/>
    </xf>
    <xf numFmtId="0" fontId="11" fillId="5" borderId="0" xfId="0" applyFont="1" applyFill="1" applyBorder="1"/>
    <xf numFmtId="0" fontId="13" fillId="5" borderId="8" xfId="0" applyFont="1" applyFill="1" applyBorder="1" applyAlignment="1">
      <alignment horizontal="left"/>
    </xf>
    <xf numFmtId="9" fontId="11" fillId="5" borderId="8" xfId="2" applyFont="1" applyFill="1" applyBorder="1" applyAlignment="1">
      <alignment horizontal="center"/>
    </xf>
    <xf numFmtId="0" fontId="12" fillId="5" borderId="6" xfId="0" applyFont="1" applyFill="1" applyBorder="1" applyAlignment="1">
      <alignment horizontal="center"/>
    </xf>
    <xf numFmtId="0" fontId="13" fillId="5" borderId="0" xfId="0" applyFont="1" applyFill="1" applyBorder="1" applyAlignment="1">
      <alignment vertical="center" textRotation="90"/>
    </xf>
    <xf numFmtId="0" fontId="11" fillId="5" borderId="5" xfId="0" applyFont="1" applyFill="1" applyBorder="1" applyAlignment="1">
      <alignment horizontal="center"/>
    </xf>
    <xf numFmtId="9" fontId="11" fillId="5" borderId="5" xfId="2" applyFont="1" applyFill="1" applyBorder="1" applyAlignment="1">
      <alignment horizontal="center"/>
    </xf>
    <xf numFmtId="9" fontId="11" fillId="5" borderId="7" xfId="2" applyFont="1" applyFill="1" applyBorder="1" applyAlignment="1">
      <alignment horizontal="center"/>
    </xf>
    <xf numFmtId="0" fontId="12" fillId="7" borderId="6" xfId="0" applyFont="1" applyFill="1" applyBorder="1" applyAlignment="1">
      <alignment horizontal="center"/>
    </xf>
    <xf numFmtId="0" fontId="13" fillId="7" borderId="6" xfId="0" applyFont="1" applyFill="1" applyBorder="1" applyAlignment="1">
      <alignment horizontal="center"/>
    </xf>
    <xf numFmtId="9" fontId="12" fillId="7" borderId="9" xfId="2" applyFont="1" applyFill="1" applyBorder="1" applyAlignment="1">
      <alignment horizontal="center"/>
    </xf>
    <xf numFmtId="9" fontId="12" fillId="4" borderId="6" xfId="2" applyFont="1" applyFill="1" applyBorder="1" applyAlignment="1">
      <alignment horizontal="center"/>
    </xf>
    <xf numFmtId="0" fontId="12" fillId="4" borderId="6" xfId="0" applyFont="1" applyFill="1" applyBorder="1" applyAlignment="1">
      <alignment horizontal="center"/>
    </xf>
    <xf numFmtId="0" fontId="16" fillId="8" borderId="3" xfId="0" applyFont="1" applyFill="1" applyBorder="1" applyAlignment="1">
      <alignment horizontal="right"/>
    </xf>
    <xf numFmtId="0" fontId="16" fillId="8" borderId="2" xfId="0" applyFont="1" applyFill="1" applyBorder="1" applyAlignment="1">
      <alignment horizontal="center"/>
    </xf>
    <xf numFmtId="0" fontId="17" fillId="8" borderId="3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/>
    </xf>
    <xf numFmtId="0" fontId="16" fillId="8" borderId="0" xfId="0" applyFont="1" applyFill="1" applyBorder="1" applyAlignment="1">
      <alignment horizontal="right"/>
    </xf>
    <xf numFmtId="0" fontId="16" fillId="8" borderId="5" xfId="0" applyFont="1" applyFill="1" applyBorder="1" applyAlignment="1">
      <alignment horizontal="center"/>
    </xf>
    <xf numFmtId="0" fontId="17" fillId="8" borderId="0" xfId="0" applyFont="1" applyFill="1" applyBorder="1" applyAlignment="1">
      <alignment horizontal="center"/>
    </xf>
    <xf numFmtId="0" fontId="12" fillId="8" borderId="6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right"/>
    </xf>
    <xf numFmtId="0" fontId="16" fillId="8" borderId="0" xfId="0" applyFont="1" applyFill="1" applyBorder="1" applyAlignment="1">
      <alignment horizontal="center"/>
    </xf>
    <xf numFmtId="9" fontId="12" fillId="8" borderId="6" xfId="2" applyFont="1" applyFill="1" applyBorder="1" applyAlignment="1">
      <alignment horizontal="center"/>
    </xf>
    <xf numFmtId="0" fontId="17" fillId="8" borderId="0" xfId="0" applyFont="1" applyFill="1" applyBorder="1" applyAlignment="1">
      <alignment horizontal="right"/>
    </xf>
    <xf numFmtId="0" fontId="12" fillId="6" borderId="11" xfId="0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0" fontId="2" fillId="7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8" fillId="0" borderId="0" xfId="0" applyFont="1"/>
    <xf numFmtId="0" fontId="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8" fillId="0" borderId="0" xfId="0" applyFont="1" applyFill="1" applyBorder="1"/>
    <xf numFmtId="0" fontId="18" fillId="0" borderId="0" xfId="0" applyFont="1" applyFill="1" applyBorder="1" applyAlignment="1"/>
    <xf numFmtId="0" fontId="8" fillId="0" borderId="0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" fillId="5" borderId="0" xfId="0" applyFont="1" applyFill="1" applyAlignment="1">
      <alignment vertical="center"/>
    </xf>
    <xf numFmtId="0" fontId="20" fillId="5" borderId="0" xfId="0" applyFont="1" applyFill="1" applyAlignment="1">
      <alignment vertical="center"/>
    </xf>
    <xf numFmtId="0" fontId="0" fillId="0" borderId="8" xfId="0" applyBorder="1"/>
    <xf numFmtId="0" fontId="0" fillId="0" borderId="9" xfId="0" applyBorder="1"/>
    <xf numFmtId="0" fontId="0" fillId="5" borderId="15" xfId="0" applyFill="1" applyBorder="1"/>
    <xf numFmtId="0" fontId="0" fillId="5" borderId="15" xfId="0" applyFill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4" fillId="5" borderId="14" xfId="0" applyFont="1" applyFill="1" applyBorder="1" applyAlignment="1">
      <alignment horizontal="left" vertical="center" wrapText="1"/>
    </xf>
    <xf numFmtId="0" fontId="1" fillId="5" borderId="15" xfId="0" applyFont="1" applyFill="1" applyBorder="1" applyAlignment="1">
      <alignment horizontal="left" vertical="center" wrapText="1"/>
    </xf>
    <xf numFmtId="0" fontId="4" fillId="0" borderId="8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5" fillId="5" borderId="8" xfId="0" applyFont="1" applyFill="1" applyBorder="1" applyAlignment="1">
      <alignment horizontal="center"/>
    </xf>
    <xf numFmtId="0" fontId="13" fillId="6" borderId="11" xfId="0" applyFont="1" applyFill="1" applyBorder="1" applyAlignment="1">
      <alignment horizontal="right" vertical="center" textRotation="90"/>
    </xf>
    <xf numFmtId="0" fontId="13" fillId="6" borderId="12" xfId="0" applyFont="1" applyFill="1" applyBorder="1" applyAlignment="1">
      <alignment horizontal="right" vertical="center" textRotation="90"/>
    </xf>
    <xf numFmtId="0" fontId="13" fillId="6" borderId="13" xfId="0" applyFont="1" applyFill="1" applyBorder="1" applyAlignment="1">
      <alignment horizontal="right" vertical="center" textRotation="90"/>
    </xf>
    <xf numFmtId="0" fontId="13" fillId="6" borderId="11" xfId="0" applyFont="1" applyFill="1" applyBorder="1" applyAlignment="1">
      <alignment horizontal="center" vertical="center" textRotation="90"/>
    </xf>
    <xf numFmtId="0" fontId="13" fillId="6" borderId="12" xfId="0" applyFont="1" applyFill="1" applyBorder="1" applyAlignment="1">
      <alignment horizontal="center" vertical="center" textRotation="90"/>
    </xf>
    <xf numFmtId="0" fontId="13" fillId="6" borderId="13" xfId="0" applyFont="1" applyFill="1" applyBorder="1" applyAlignment="1">
      <alignment horizontal="center" vertical="center" textRotation="90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FB3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</a:t>
            </a:r>
            <a:r>
              <a:rPr lang="en-US" altLang="zh-Hans"/>
              <a:t>i</a:t>
            </a:r>
            <a:r>
              <a:rPr lang="en-US"/>
              <a:t>TOR 1</a:t>
            </a:r>
          </a:p>
        </c:rich>
      </c:tx>
      <c:layout>
        <c:manualLayout>
          <c:xMode val="edge"/>
          <c:yMode val="edge"/>
          <c:x val="0.36988459877750046"/>
          <c:y val="2.8280091669063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'visitor 5'!$P$5</c:f>
              <c:strCache>
                <c:ptCount val="1"/>
                <c:pt idx="0">
                  <c:v>Global interest scores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1'!$N$13:$N$23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6C-4D82-B28E-F374EFBAB8A9}"/>
            </c:ext>
          </c:extLst>
        </c:ser>
        <c:ser>
          <c:idx val="0"/>
          <c:order val="1"/>
          <c:tx>
            <c:strRef>
              <c:f>'visitor 5'!$P$4</c:f>
              <c:strCache>
                <c:ptCount val="1"/>
                <c:pt idx="0">
                  <c:v>LS Addition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bg2">
                  <a:lumMod val="50000"/>
                </a:schemeClr>
              </a:solidFill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1'!$M$13:$M$23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6C-4D82-B28E-F374EFBAB8A9}"/>
            </c:ext>
          </c:extLst>
        </c:ser>
        <c:ser>
          <c:idx val="2"/>
          <c:order val="2"/>
          <c:tx>
            <c:v>Constructive</c:v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'visitor 1'!$L$13:$L$23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6C-4D82-B28E-F374EFBAB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653521456"/>
        <c:axId val="-1653133696"/>
      </c:barChart>
      <c:catAx>
        <c:axId val="-165352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Interest score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133696"/>
        <c:crosses val="autoZero"/>
        <c:auto val="1"/>
        <c:lblAlgn val="ctr"/>
        <c:lblOffset val="100"/>
        <c:noMultiLvlLbl val="0"/>
      </c:catAx>
      <c:valAx>
        <c:axId val="-1653133696"/>
        <c:scaling>
          <c:orientation val="minMax"/>
          <c:max val="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52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0067864456162348E-2"/>
          <c:y val="0.11090509282884421"/>
          <c:w val="0.88560184194218783"/>
          <c:h val="0.17380528674417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</a:t>
            </a:r>
            <a:r>
              <a:rPr lang="en-US" altLang="zh-Hans"/>
              <a:t>i</a:t>
            </a:r>
            <a:r>
              <a:rPr lang="en-US"/>
              <a:t>TOR 2</a:t>
            </a:r>
          </a:p>
        </c:rich>
      </c:tx>
      <c:layout>
        <c:manualLayout>
          <c:xMode val="edge"/>
          <c:yMode val="edge"/>
          <c:x val="0.36988459877750046"/>
          <c:y val="2.8280091669063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'visitor 5'!$P$5</c:f>
              <c:strCache>
                <c:ptCount val="1"/>
                <c:pt idx="0">
                  <c:v>Global interest scores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2'!$N$13:$N$23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50-49B3-911A-7223A0029B90}"/>
            </c:ext>
          </c:extLst>
        </c:ser>
        <c:ser>
          <c:idx val="0"/>
          <c:order val="1"/>
          <c:tx>
            <c:strRef>
              <c:f>'visitor 5'!$P$4</c:f>
              <c:strCache>
                <c:ptCount val="1"/>
                <c:pt idx="0">
                  <c:v>LS Addition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bg2">
                  <a:lumMod val="50000"/>
                </a:schemeClr>
              </a:solidFill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2'!$M$13:$M$23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50-49B3-911A-7223A0029B90}"/>
            </c:ext>
          </c:extLst>
        </c:ser>
        <c:ser>
          <c:idx val="2"/>
          <c:order val="2"/>
          <c:tx>
            <c:v>Constructive</c:v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'visitor 2'!$L$13:$L$23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50-49B3-911A-7223A0029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653521456"/>
        <c:axId val="-1653133696"/>
      </c:barChart>
      <c:catAx>
        <c:axId val="-165352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Interest score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133696"/>
        <c:crosses val="autoZero"/>
        <c:auto val="1"/>
        <c:lblAlgn val="ctr"/>
        <c:lblOffset val="100"/>
        <c:noMultiLvlLbl val="0"/>
      </c:catAx>
      <c:valAx>
        <c:axId val="-1653133696"/>
        <c:scaling>
          <c:orientation val="minMax"/>
          <c:max val="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52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0067864456162348E-2"/>
          <c:y val="0.11090509282884421"/>
          <c:w val="0.88560184194218783"/>
          <c:h val="0.17380528674417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</a:t>
            </a:r>
            <a:r>
              <a:rPr lang="en-US" altLang="zh-Hans"/>
              <a:t>i</a:t>
            </a:r>
            <a:r>
              <a:rPr lang="en-US"/>
              <a:t>TOR 3</a:t>
            </a:r>
          </a:p>
        </c:rich>
      </c:tx>
      <c:layout>
        <c:manualLayout>
          <c:xMode val="edge"/>
          <c:yMode val="edge"/>
          <c:x val="0.36988459877750046"/>
          <c:y val="2.8280091669063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'visitor 5'!$P$5</c:f>
              <c:strCache>
                <c:ptCount val="1"/>
                <c:pt idx="0">
                  <c:v>Global interest scores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3'!$N$13:$N$23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7-4CBA-836D-83FC3E8DAE01}"/>
            </c:ext>
          </c:extLst>
        </c:ser>
        <c:ser>
          <c:idx val="0"/>
          <c:order val="1"/>
          <c:tx>
            <c:strRef>
              <c:f>'visitor 5'!$P$4</c:f>
              <c:strCache>
                <c:ptCount val="1"/>
                <c:pt idx="0">
                  <c:v>LS Addition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bg2">
                  <a:lumMod val="50000"/>
                </a:schemeClr>
              </a:solidFill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3'!$M$13:$M$23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7-4CBA-836D-83FC3E8DAE01}"/>
            </c:ext>
          </c:extLst>
        </c:ser>
        <c:ser>
          <c:idx val="2"/>
          <c:order val="2"/>
          <c:tx>
            <c:v>Constructive</c:v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'visitor 3'!$L$13:$L$23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D7-4CBA-836D-83FC3E8DA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653521456"/>
        <c:axId val="-1653133696"/>
      </c:barChart>
      <c:catAx>
        <c:axId val="-165352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Interest score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133696"/>
        <c:crosses val="autoZero"/>
        <c:auto val="1"/>
        <c:lblAlgn val="ctr"/>
        <c:lblOffset val="100"/>
        <c:noMultiLvlLbl val="0"/>
      </c:catAx>
      <c:valAx>
        <c:axId val="-1653133696"/>
        <c:scaling>
          <c:orientation val="minMax"/>
          <c:max val="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52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0067864456162348E-2"/>
          <c:y val="0.11090509282884421"/>
          <c:w val="0.88560184194218783"/>
          <c:h val="0.17380528674417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</a:t>
            </a:r>
            <a:r>
              <a:rPr lang="en-US" altLang="zh-Hans"/>
              <a:t>i</a:t>
            </a:r>
            <a:r>
              <a:rPr lang="en-US"/>
              <a:t>TOR 4</a:t>
            </a:r>
          </a:p>
        </c:rich>
      </c:tx>
      <c:layout>
        <c:manualLayout>
          <c:xMode val="edge"/>
          <c:yMode val="edge"/>
          <c:x val="0.36988459877750046"/>
          <c:y val="2.8280091669063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'visitor 5'!$P$5</c:f>
              <c:strCache>
                <c:ptCount val="1"/>
                <c:pt idx="0">
                  <c:v>Global interest scores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4'!$N$13:$N$23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0B-4992-A118-8F23EC3EBCC5}"/>
            </c:ext>
          </c:extLst>
        </c:ser>
        <c:ser>
          <c:idx val="0"/>
          <c:order val="1"/>
          <c:tx>
            <c:strRef>
              <c:f>'visitor 5'!$P$4</c:f>
              <c:strCache>
                <c:ptCount val="1"/>
                <c:pt idx="0">
                  <c:v>LS Addition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bg2">
                  <a:lumMod val="50000"/>
                </a:schemeClr>
              </a:solidFill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4'!$M$13:$M$23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0B-4992-A118-8F23EC3EBCC5}"/>
            </c:ext>
          </c:extLst>
        </c:ser>
        <c:ser>
          <c:idx val="2"/>
          <c:order val="2"/>
          <c:tx>
            <c:v>Constructive</c:v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'visitor 4'!$L$13:$L$23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0B-4992-A118-8F23EC3EB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653521456"/>
        <c:axId val="-1653133696"/>
      </c:barChart>
      <c:catAx>
        <c:axId val="-165352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Interest score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133696"/>
        <c:crosses val="autoZero"/>
        <c:auto val="1"/>
        <c:lblAlgn val="ctr"/>
        <c:lblOffset val="100"/>
        <c:noMultiLvlLbl val="0"/>
      </c:catAx>
      <c:valAx>
        <c:axId val="-1653133696"/>
        <c:scaling>
          <c:orientation val="minMax"/>
          <c:max val="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52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0067864456162348E-2"/>
          <c:y val="0.11090509282884421"/>
          <c:w val="0.88560184194218783"/>
          <c:h val="0.17380528674417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</a:t>
            </a:r>
            <a:r>
              <a:rPr lang="en-US" altLang="zh-Hans"/>
              <a:t>i</a:t>
            </a:r>
            <a:r>
              <a:rPr lang="en-US"/>
              <a:t>TOR</a:t>
            </a:r>
            <a:r>
              <a:rPr lang="en-US" baseline="0"/>
              <a:t> 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'visitor 5'!$P$5</c:f>
              <c:strCache>
                <c:ptCount val="1"/>
                <c:pt idx="0">
                  <c:v>Global interest scores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5'!$N$13:$N$23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3C-47FB-B3B2-CD0EB2C891E3}"/>
            </c:ext>
          </c:extLst>
        </c:ser>
        <c:ser>
          <c:idx val="0"/>
          <c:order val="1"/>
          <c:tx>
            <c:strRef>
              <c:f>'visitor 5'!$P$4</c:f>
              <c:strCache>
                <c:ptCount val="1"/>
                <c:pt idx="0">
                  <c:v>LS Addition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bg2">
                  <a:lumMod val="50000"/>
                </a:schemeClr>
              </a:solidFill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5'!$M$13:$M$23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3C-47FB-B3B2-CD0EB2C891E3}"/>
            </c:ext>
          </c:extLst>
        </c:ser>
        <c:ser>
          <c:idx val="2"/>
          <c:order val="2"/>
          <c:tx>
            <c:v>Constructive</c:v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'visitor 5'!$L$13:$L$23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9C-445C-BE0B-5313D5B16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653521456"/>
        <c:axId val="-1653133696"/>
      </c:barChart>
      <c:catAx>
        <c:axId val="-165352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Interest score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133696"/>
        <c:crosses val="autoZero"/>
        <c:auto val="1"/>
        <c:lblAlgn val="ctr"/>
        <c:lblOffset val="100"/>
        <c:noMultiLvlLbl val="0"/>
      </c:catAx>
      <c:valAx>
        <c:axId val="-1653133696"/>
        <c:scaling>
          <c:orientation val="minMax"/>
          <c:max val="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52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0067864456162348E-2"/>
          <c:y val="0.11090509282884421"/>
          <c:w val="0.88560184194218783"/>
          <c:h val="0.17380528674417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VIS</a:t>
            </a:r>
            <a:r>
              <a:rPr lang="en-US" altLang="zh-Hans" sz="1400"/>
              <a:t>i</a:t>
            </a:r>
            <a:r>
              <a:rPr lang="en-US" sz="1400"/>
              <a:t>TOR 1</a:t>
            </a:r>
          </a:p>
        </c:rich>
      </c:tx>
      <c:layout>
        <c:manualLayout>
          <c:xMode val="edge"/>
          <c:yMode val="edge"/>
          <c:x val="0.41695472187725607"/>
          <c:y val="2.82801178755588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'visitor 5'!$P$5</c:f>
              <c:strCache>
                <c:ptCount val="1"/>
                <c:pt idx="0">
                  <c:v>Global interest scores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1'!$N$13:$N$23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FC-40FC-8792-A44800AE5C7A}"/>
            </c:ext>
          </c:extLst>
        </c:ser>
        <c:ser>
          <c:idx val="0"/>
          <c:order val="1"/>
          <c:tx>
            <c:strRef>
              <c:f>'visitor 5'!$P$4</c:f>
              <c:strCache>
                <c:ptCount val="1"/>
                <c:pt idx="0">
                  <c:v>LS Addition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bg2">
                  <a:lumMod val="50000"/>
                </a:schemeClr>
              </a:solidFill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1'!$M$13:$M$23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FC-40FC-8792-A44800AE5C7A}"/>
            </c:ext>
          </c:extLst>
        </c:ser>
        <c:ser>
          <c:idx val="2"/>
          <c:order val="2"/>
          <c:tx>
            <c:v>Constructive</c:v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'visitor 1'!$L$13:$L$23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FC-40FC-8792-A44800AE5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653521456"/>
        <c:axId val="-1653133696"/>
      </c:barChart>
      <c:catAx>
        <c:axId val="-165352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Interest score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133696"/>
        <c:crosses val="autoZero"/>
        <c:auto val="1"/>
        <c:lblAlgn val="ctr"/>
        <c:lblOffset val="100"/>
        <c:noMultiLvlLbl val="0"/>
      </c:catAx>
      <c:valAx>
        <c:axId val="-1653133696"/>
        <c:scaling>
          <c:orientation val="minMax"/>
          <c:max val="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52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0067864456162348E-2"/>
          <c:y val="0.11090509282884421"/>
          <c:w val="0.88560184194218783"/>
          <c:h val="0.17380528674417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</a:t>
            </a:r>
            <a:r>
              <a:rPr lang="en-US" altLang="zh-Hans"/>
              <a:t>i</a:t>
            </a:r>
            <a:r>
              <a:rPr lang="en-US"/>
              <a:t>TOR 2</a:t>
            </a:r>
          </a:p>
        </c:rich>
      </c:tx>
      <c:layout>
        <c:manualLayout>
          <c:xMode val="edge"/>
          <c:yMode val="edge"/>
          <c:x val="0.36988459877750046"/>
          <c:y val="2.8280091669063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'visitor 5'!$P$5</c:f>
              <c:strCache>
                <c:ptCount val="1"/>
                <c:pt idx="0">
                  <c:v>Global interest scores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2'!$N$13:$N$23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17-40EF-912F-351EF67C65B5}"/>
            </c:ext>
          </c:extLst>
        </c:ser>
        <c:ser>
          <c:idx val="0"/>
          <c:order val="1"/>
          <c:tx>
            <c:strRef>
              <c:f>'visitor 5'!$P$4</c:f>
              <c:strCache>
                <c:ptCount val="1"/>
                <c:pt idx="0">
                  <c:v>LS Addition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bg2">
                  <a:lumMod val="50000"/>
                </a:schemeClr>
              </a:solidFill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2'!$M$13:$M$23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17-40EF-912F-351EF67C65B5}"/>
            </c:ext>
          </c:extLst>
        </c:ser>
        <c:ser>
          <c:idx val="2"/>
          <c:order val="2"/>
          <c:tx>
            <c:v>Constructive</c:v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'visitor 2'!$L$13:$L$23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17-40EF-912F-351EF67C6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653521456"/>
        <c:axId val="-1653133696"/>
      </c:barChart>
      <c:catAx>
        <c:axId val="-165352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Interest score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133696"/>
        <c:crosses val="autoZero"/>
        <c:auto val="1"/>
        <c:lblAlgn val="ctr"/>
        <c:lblOffset val="100"/>
        <c:noMultiLvlLbl val="0"/>
      </c:catAx>
      <c:valAx>
        <c:axId val="-1653133696"/>
        <c:scaling>
          <c:orientation val="minMax"/>
          <c:max val="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52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0067864456162348E-2"/>
          <c:y val="0.11090509282884421"/>
          <c:w val="0.88560184194218783"/>
          <c:h val="0.17380528674417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</a:t>
            </a:r>
            <a:r>
              <a:rPr lang="en-US" altLang="zh-Hans"/>
              <a:t>i</a:t>
            </a:r>
            <a:r>
              <a:rPr lang="en-US"/>
              <a:t>TOR 3</a:t>
            </a:r>
          </a:p>
        </c:rich>
      </c:tx>
      <c:layout>
        <c:manualLayout>
          <c:xMode val="edge"/>
          <c:yMode val="edge"/>
          <c:x val="0.36988459877750046"/>
          <c:y val="2.8280091669063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'visitor 5'!$P$5</c:f>
              <c:strCache>
                <c:ptCount val="1"/>
                <c:pt idx="0">
                  <c:v>Global interest scores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3'!$N$13:$N$23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9B-4246-A312-7E9C7416C800}"/>
            </c:ext>
          </c:extLst>
        </c:ser>
        <c:ser>
          <c:idx val="0"/>
          <c:order val="1"/>
          <c:tx>
            <c:strRef>
              <c:f>'visitor 5'!$P$4</c:f>
              <c:strCache>
                <c:ptCount val="1"/>
                <c:pt idx="0">
                  <c:v>LS Addition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bg2">
                  <a:lumMod val="50000"/>
                </a:schemeClr>
              </a:solidFill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3'!$M$13:$M$23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9B-4246-A312-7E9C7416C800}"/>
            </c:ext>
          </c:extLst>
        </c:ser>
        <c:ser>
          <c:idx val="2"/>
          <c:order val="2"/>
          <c:tx>
            <c:v>Constructive</c:v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'visitor 3'!$L$13:$L$23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9B-4246-A312-7E9C7416C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653521456"/>
        <c:axId val="-1653133696"/>
      </c:barChart>
      <c:catAx>
        <c:axId val="-165352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Interest score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133696"/>
        <c:crosses val="autoZero"/>
        <c:auto val="1"/>
        <c:lblAlgn val="ctr"/>
        <c:lblOffset val="100"/>
        <c:noMultiLvlLbl val="0"/>
      </c:catAx>
      <c:valAx>
        <c:axId val="-1653133696"/>
        <c:scaling>
          <c:orientation val="minMax"/>
          <c:max val="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52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0067864456162348E-2"/>
          <c:y val="0.11090509282884421"/>
          <c:w val="0.88560184194218783"/>
          <c:h val="0.17380528674417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</a:t>
            </a:r>
            <a:r>
              <a:rPr lang="en-US" altLang="zh-Hans"/>
              <a:t>i</a:t>
            </a:r>
            <a:r>
              <a:rPr lang="en-US"/>
              <a:t>TOR 4</a:t>
            </a:r>
          </a:p>
        </c:rich>
      </c:tx>
      <c:layout>
        <c:manualLayout>
          <c:xMode val="edge"/>
          <c:yMode val="edge"/>
          <c:x val="0.36988459877750046"/>
          <c:y val="2.82800916690635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'visitor 5'!$P$5</c:f>
              <c:strCache>
                <c:ptCount val="1"/>
                <c:pt idx="0">
                  <c:v>Global interest scores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4'!$N$13:$N$23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8-4F61-8AE9-9FC2416D3E74}"/>
            </c:ext>
          </c:extLst>
        </c:ser>
        <c:ser>
          <c:idx val="0"/>
          <c:order val="1"/>
          <c:tx>
            <c:strRef>
              <c:f>'visitor 5'!$P$4</c:f>
              <c:strCache>
                <c:ptCount val="1"/>
                <c:pt idx="0">
                  <c:v>LS Addition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bg2">
                  <a:lumMod val="50000"/>
                </a:schemeClr>
              </a:solidFill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4'!$M$13:$M$23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28-4F61-8AE9-9FC2416D3E74}"/>
            </c:ext>
          </c:extLst>
        </c:ser>
        <c:ser>
          <c:idx val="2"/>
          <c:order val="2"/>
          <c:tx>
            <c:v>Constructive</c:v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'visitor 4'!$L$13:$L$23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28-4F61-8AE9-9FC2416D3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653521456"/>
        <c:axId val="-1653133696"/>
      </c:barChart>
      <c:catAx>
        <c:axId val="-165352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Interest score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133696"/>
        <c:crosses val="autoZero"/>
        <c:auto val="1"/>
        <c:lblAlgn val="ctr"/>
        <c:lblOffset val="100"/>
        <c:noMultiLvlLbl val="0"/>
      </c:catAx>
      <c:valAx>
        <c:axId val="-1653133696"/>
        <c:scaling>
          <c:orientation val="minMax"/>
          <c:max val="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52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0067864456162348E-2"/>
          <c:y val="0.11090509282884421"/>
          <c:w val="0.88560184194218783"/>
          <c:h val="0.17380528674417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VIS</a:t>
            </a:r>
            <a:r>
              <a:rPr lang="en-US" altLang="zh-Hans"/>
              <a:t>i</a:t>
            </a:r>
            <a:r>
              <a:rPr lang="en-US"/>
              <a:t>TOR</a:t>
            </a:r>
            <a:r>
              <a:rPr lang="en-US" baseline="0"/>
              <a:t> 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'visitor 5'!$P$5</c:f>
              <c:strCache>
                <c:ptCount val="1"/>
                <c:pt idx="0">
                  <c:v>Global interest scores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5'!$N$13:$N$23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77-483A-BDC3-C9E12789521A}"/>
            </c:ext>
          </c:extLst>
        </c:ser>
        <c:ser>
          <c:idx val="0"/>
          <c:order val="1"/>
          <c:tx>
            <c:strRef>
              <c:f>'visitor 5'!$P$4</c:f>
              <c:strCache>
                <c:ptCount val="1"/>
                <c:pt idx="0">
                  <c:v>LS Addition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bg2">
                  <a:lumMod val="50000"/>
                </a:schemeClr>
              </a:solidFill>
            </a:ln>
            <a:effectLst/>
          </c:spPr>
          <c:invertIfNegative val="0"/>
          <c:cat>
            <c:numRef>
              <c:f>'[1]visitor 1'!$W$5:$W$15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'visitor 5'!$M$13:$M$23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77-483A-BDC3-C9E12789521A}"/>
            </c:ext>
          </c:extLst>
        </c:ser>
        <c:ser>
          <c:idx val="2"/>
          <c:order val="2"/>
          <c:tx>
            <c:v>Constructive</c:v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'visitor 5'!$L$13:$L$23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77-483A-BDC3-C9E127895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-1653521456"/>
        <c:axId val="-1653133696"/>
      </c:barChart>
      <c:catAx>
        <c:axId val="-165352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Interest score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133696"/>
        <c:crosses val="autoZero"/>
        <c:auto val="1"/>
        <c:lblAlgn val="ctr"/>
        <c:lblOffset val="100"/>
        <c:noMultiLvlLbl val="0"/>
      </c:catAx>
      <c:valAx>
        <c:axId val="-1653133696"/>
        <c:scaling>
          <c:orientation val="minMax"/>
          <c:max val="7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53521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0067864456162348E-2"/>
          <c:y val="0.11090509282884421"/>
          <c:w val="0.88560184194218783"/>
          <c:h val="0.173805286744170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533400</xdr:colOff>
      <xdr:row>24</xdr:row>
      <xdr:rowOff>21771</xdr:rowOff>
    </xdr:from>
    <xdr:to>
      <xdr:col>18</xdr:col>
      <xdr:colOff>326571</xdr:colOff>
      <xdr:row>38</xdr:row>
      <xdr:rowOff>125446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200025</xdr:rowOff>
        </xdr:from>
        <xdr:to>
          <xdr:col>12</xdr:col>
          <xdr:colOff>209550</xdr:colOff>
          <xdr:row>0</xdr:row>
          <xdr:rowOff>514350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Heuristics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533400</xdr:colOff>
      <xdr:row>24</xdr:row>
      <xdr:rowOff>21771</xdr:rowOff>
    </xdr:from>
    <xdr:to>
      <xdr:col>18</xdr:col>
      <xdr:colOff>326571</xdr:colOff>
      <xdr:row>38</xdr:row>
      <xdr:rowOff>125446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533400</xdr:colOff>
      <xdr:row>24</xdr:row>
      <xdr:rowOff>21771</xdr:rowOff>
    </xdr:from>
    <xdr:to>
      <xdr:col>18</xdr:col>
      <xdr:colOff>326571</xdr:colOff>
      <xdr:row>38</xdr:row>
      <xdr:rowOff>125446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533400</xdr:colOff>
      <xdr:row>24</xdr:row>
      <xdr:rowOff>21771</xdr:rowOff>
    </xdr:from>
    <xdr:to>
      <xdr:col>18</xdr:col>
      <xdr:colOff>326571</xdr:colOff>
      <xdr:row>38</xdr:row>
      <xdr:rowOff>125446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979715</xdr:colOff>
      <xdr:row>24</xdr:row>
      <xdr:rowOff>108856</xdr:rowOff>
    </xdr:from>
    <xdr:to>
      <xdr:col>15</xdr:col>
      <xdr:colOff>1088571</xdr:colOff>
      <xdr:row>39</xdr:row>
      <xdr:rowOff>27474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733425</xdr:colOff>
          <xdr:row>0</xdr:row>
          <xdr:rowOff>114300</xdr:rowOff>
        </xdr:from>
        <xdr:to>
          <xdr:col>11</xdr:col>
          <xdr:colOff>1019175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Heuristics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13855</xdr:colOff>
      <xdr:row>7</xdr:row>
      <xdr:rowOff>41565</xdr:rowOff>
    </xdr:from>
    <xdr:to>
      <xdr:col>16</xdr:col>
      <xdr:colOff>133598</xdr:colOff>
      <xdr:row>21</xdr:row>
      <xdr:rowOff>175720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595746</xdr:colOff>
      <xdr:row>22</xdr:row>
      <xdr:rowOff>13855</xdr:rowOff>
    </xdr:from>
    <xdr:to>
      <xdr:col>16</xdr:col>
      <xdr:colOff>149431</xdr:colOff>
      <xdr:row>36</xdr:row>
      <xdr:rowOff>148011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152400</xdr:colOff>
      <xdr:row>7</xdr:row>
      <xdr:rowOff>69273</xdr:rowOff>
    </xdr:from>
    <xdr:to>
      <xdr:col>22</xdr:col>
      <xdr:colOff>277265</xdr:colOff>
      <xdr:row>21</xdr:row>
      <xdr:rowOff>178165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166254</xdr:colOff>
      <xdr:row>22</xdr:row>
      <xdr:rowOff>27710</xdr:rowOff>
    </xdr:from>
    <xdr:to>
      <xdr:col>22</xdr:col>
      <xdr:colOff>285997</xdr:colOff>
      <xdr:row>36</xdr:row>
      <xdr:rowOff>161865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152400</xdr:colOff>
      <xdr:row>36</xdr:row>
      <xdr:rowOff>166255</xdr:rowOff>
    </xdr:from>
    <xdr:to>
      <xdr:col>19</xdr:col>
      <xdr:colOff>263236</xdr:colOff>
      <xdr:row>51</xdr:row>
      <xdr:rowOff>120300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th/Downloads/Copy%20of%20constructive%20heuristic%20with%20comme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ractions and travelling time"/>
      <sheetName val="visitor 1"/>
      <sheetName val="visitor 2"/>
      <sheetName val="visitor 3"/>
      <sheetName val="visitor 4"/>
      <sheetName val="visitor 5"/>
      <sheetName val="nearestRoutes"/>
      <sheetName val="Macro1"/>
      <sheetName val="interestRatio"/>
      <sheetName val="nodeTotalTime"/>
    </sheetNames>
    <sheetDataSet>
      <sheetData sheetId="0"/>
      <sheetData sheetId="1">
        <row r="5">
          <cell r="W5">
            <v>0</v>
          </cell>
        </row>
        <row r="6">
          <cell r="W6">
            <v>1</v>
          </cell>
        </row>
        <row r="7">
          <cell r="W7">
            <v>2</v>
          </cell>
        </row>
        <row r="8">
          <cell r="W8">
            <v>3</v>
          </cell>
        </row>
        <row r="9">
          <cell r="W9">
            <v>4</v>
          </cell>
        </row>
        <row r="10">
          <cell r="W10">
            <v>5</v>
          </cell>
        </row>
        <row r="11">
          <cell r="W11">
            <v>6</v>
          </cell>
        </row>
        <row r="12">
          <cell r="W12">
            <v>7</v>
          </cell>
        </row>
        <row r="13">
          <cell r="W13">
            <v>8</v>
          </cell>
        </row>
        <row r="14">
          <cell r="W14">
            <v>9</v>
          </cell>
        </row>
        <row r="15">
          <cell r="W15">
            <v>10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47"/>
  <sheetViews>
    <sheetView zoomScale="70" zoomScaleNormal="70" workbookViewId="0">
      <selection sqref="A1:K1"/>
    </sheetView>
  </sheetViews>
  <sheetFormatPr defaultRowHeight="15" x14ac:dyDescent="0.25"/>
  <cols>
    <col min="2" max="2" width="30.5703125" customWidth="1"/>
    <col min="4" max="4" width="19.28515625" customWidth="1"/>
    <col min="5" max="5" width="2" bestFit="1" customWidth="1"/>
    <col min="6" max="6" width="4.7109375" bestFit="1" customWidth="1"/>
    <col min="7" max="7" width="2.5703125" style="82" customWidth="1"/>
    <col min="8" max="8" width="14.140625" style="30" customWidth="1"/>
    <col min="9" max="9" width="12.85546875" style="30" customWidth="1"/>
    <col min="10" max="10" width="2" style="83" customWidth="1"/>
    <col min="11" max="11" width="14.28515625" style="34" bestFit="1" customWidth="1"/>
    <col min="12" max="12" width="15" style="30" customWidth="1"/>
    <col min="13" max="13" width="12" style="30" customWidth="1"/>
    <col min="14" max="14" width="15.42578125" style="30" bestFit="1" customWidth="1"/>
    <col min="15" max="15" width="4" customWidth="1"/>
  </cols>
  <sheetData>
    <row r="1" spans="1:15" s="94" customFormat="1" ht="51" customHeight="1" thickBot="1" x14ac:dyDescent="0.3">
      <c r="A1" s="98" t="s">
        <v>75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5"/>
      <c r="M1" s="95"/>
      <c r="N1" s="95"/>
    </row>
    <row r="2" spans="1:15" x14ac:dyDescent="0.25">
      <c r="B2" s="2" t="s">
        <v>46</v>
      </c>
      <c r="C2" s="92">
        <v>360</v>
      </c>
      <c r="D2" s="93" t="s">
        <v>49</v>
      </c>
      <c r="E2" s="2">
        <v>2</v>
      </c>
      <c r="F2" s="93" t="s">
        <v>48</v>
      </c>
    </row>
    <row r="3" spans="1:15" ht="18.75" x14ac:dyDescent="0.3">
      <c r="H3" s="97" t="s">
        <v>56</v>
      </c>
      <c r="I3" s="97"/>
      <c r="J3" s="84"/>
      <c r="L3" s="97" t="s">
        <v>59</v>
      </c>
      <c r="M3" s="97"/>
      <c r="N3" s="97"/>
      <c r="O3" s="22"/>
    </row>
    <row r="4" spans="1:15" x14ac:dyDescent="0.25">
      <c r="B4" s="7"/>
      <c r="C4" s="7" t="s">
        <v>45</v>
      </c>
      <c r="D4" s="3" t="s">
        <v>47</v>
      </c>
      <c r="H4" s="21" t="s">
        <v>50</v>
      </c>
      <c r="I4" s="24" t="s">
        <v>51</v>
      </c>
      <c r="J4" s="42"/>
      <c r="K4" s="44"/>
      <c r="L4" s="33" t="s">
        <v>58</v>
      </c>
      <c r="M4" s="33" t="s">
        <v>57</v>
      </c>
      <c r="N4" s="33" t="s">
        <v>60</v>
      </c>
      <c r="O4" s="29"/>
    </row>
    <row r="5" spans="1:15" x14ac:dyDescent="0.25">
      <c r="A5">
        <v>1</v>
      </c>
      <c r="B5" s="1" t="s">
        <v>1</v>
      </c>
      <c r="C5" s="8">
        <v>1</v>
      </c>
      <c r="D5" s="8">
        <v>88</v>
      </c>
      <c r="G5" s="82" t="str">
        <f t="shared" ref="G5:G21" si="0">IF(H5="","",IFERROR(VLOOKUP(H5-1,A:C,3,FALSE),0))</f>
        <v/>
      </c>
      <c r="J5" s="83" t="str">
        <f t="shared" ref="J5:J26" si="1">IF(I5="","",IFERROR(VLOOKUP(I5-1,A:C,3,FALSE),0))</f>
        <v/>
      </c>
      <c r="K5" s="43"/>
      <c r="L5" s="35"/>
      <c r="M5" s="36"/>
      <c r="N5" s="27" t="str">
        <f>IF(L5="","",L5-M5)</f>
        <v/>
      </c>
      <c r="O5" s="28"/>
    </row>
    <row r="6" spans="1:15" x14ac:dyDescent="0.25">
      <c r="A6">
        <v>2</v>
      </c>
      <c r="B6" s="1" t="s">
        <v>2</v>
      </c>
      <c r="C6" s="1">
        <v>4</v>
      </c>
      <c r="D6" s="9">
        <v>116</v>
      </c>
      <c r="G6" s="82" t="str">
        <f t="shared" si="0"/>
        <v/>
      </c>
      <c r="J6" s="83" t="str">
        <f t="shared" si="1"/>
        <v/>
      </c>
      <c r="K6" s="43"/>
      <c r="L6" s="35"/>
      <c r="M6" s="36"/>
      <c r="N6" s="27" t="str">
        <f t="shared" ref="N6:N9" si="2">IF(L6="","",L6-M6)</f>
        <v/>
      </c>
      <c r="O6" s="28"/>
    </row>
    <row r="7" spans="1:15" x14ac:dyDescent="0.25">
      <c r="A7">
        <v>3</v>
      </c>
      <c r="B7" s="1" t="s">
        <v>3</v>
      </c>
      <c r="C7" s="1">
        <v>10</v>
      </c>
      <c r="D7" s="9">
        <v>89</v>
      </c>
      <c r="G7" s="82" t="str">
        <f t="shared" si="0"/>
        <v/>
      </c>
      <c r="J7" s="83" t="str">
        <f t="shared" si="1"/>
        <v/>
      </c>
      <c r="K7" s="44"/>
      <c r="L7" s="35"/>
      <c r="M7" s="36"/>
      <c r="N7" s="27" t="str">
        <f t="shared" si="2"/>
        <v/>
      </c>
      <c r="O7" s="28"/>
    </row>
    <row r="8" spans="1:15" x14ac:dyDescent="0.25">
      <c r="A8">
        <v>4</v>
      </c>
      <c r="B8" s="1" t="s">
        <v>4</v>
      </c>
      <c r="C8" s="1">
        <v>1</v>
      </c>
      <c r="D8" s="9">
        <v>73</v>
      </c>
      <c r="G8" s="82" t="str">
        <f t="shared" si="0"/>
        <v/>
      </c>
      <c r="J8" s="83" t="str">
        <f t="shared" si="1"/>
        <v/>
      </c>
      <c r="K8" s="43"/>
      <c r="L8" s="35"/>
      <c r="M8" s="35"/>
      <c r="N8" s="27" t="str">
        <f t="shared" si="2"/>
        <v/>
      </c>
      <c r="O8" s="28"/>
    </row>
    <row r="9" spans="1:15" x14ac:dyDescent="0.25">
      <c r="A9">
        <v>5</v>
      </c>
      <c r="B9" s="1" t="s">
        <v>5</v>
      </c>
      <c r="C9" s="1">
        <v>10</v>
      </c>
      <c r="D9" s="9">
        <v>111</v>
      </c>
      <c r="G9" s="82" t="str">
        <f t="shared" si="0"/>
        <v/>
      </c>
      <c r="J9" s="83" t="str">
        <f t="shared" si="1"/>
        <v/>
      </c>
      <c r="K9" s="44"/>
      <c r="L9" s="39"/>
      <c r="M9" s="39"/>
      <c r="N9" s="27" t="str">
        <f t="shared" si="2"/>
        <v/>
      </c>
      <c r="O9" s="28"/>
    </row>
    <row r="10" spans="1:15" x14ac:dyDescent="0.25">
      <c r="A10">
        <v>6</v>
      </c>
      <c r="B10" s="1" t="s">
        <v>6</v>
      </c>
      <c r="C10" s="1">
        <v>10</v>
      </c>
      <c r="D10" s="9">
        <v>49</v>
      </c>
      <c r="G10" s="82" t="str">
        <f t="shared" si="0"/>
        <v/>
      </c>
      <c r="J10" s="83" t="str">
        <f t="shared" si="1"/>
        <v/>
      </c>
      <c r="K10" s="79"/>
      <c r="N10" s="27"/>
    </row>
    <row r="11" spans="1:15" ht="15.75" x14ac:dyDescent="0.25">
      <c r="A11">
        <v>7</v>
      </c>
      <c r="B11" s="1" t="s">
        <v>7</v>
      </c>
      <c r="C11" s="1">
        <v>10</v>
      </c>
      <c r="D11" s="9">
        <v>117</v>
      </c>
      <c r="G11" s="82" t="str">
        <f t="shared" si="0"/>
        <v/>
      </c>
      <c r="J11" s="83" t="str">
        <f t="shared" si="1"/>
        <v/>
      </c>
      <c r="L11" s="96" t="s">
        <v>70</v>
      </c>
      <c r="M11" s="96"/>
      <c r="N11" s="96"/>
    </row>
    <row r="12" spans="1:15" x14ac:dyDescent="0.25">
      <c r="A12">
        <v>8</v>
      </c>
      <c r="B12" s="1" t="s">
        <v>8</v>
      </c>
      <c r="C12" s="1">
        <v>5</v>
      </c>
      <c r="D12" s="9">
        <v>91</v>
      </c>
      <c r="G12" s="82" t="str">
        <f t="shared" si="0"/>
        <v/>
      </c>
      <c r="J12" s="83" t="str">
        <f t="shared" si="1"/>
        <v/>
      </c>
      <c r="K12" s="43" t="str">
        <f>IF(I12="","","interest score")</f>
        <v/>
      </c>
      <c r="L12" s="80" t="s">
        <v>58</v>
      </c>
      <c r="M12" s="80" t="s">
        <v>68</v>
      </c>
      <c r="N12" s="81" t="str">
        <f>IFERROR(IF(K12="Interest",IF(#REF!-#REF! = 0,"",#REF!-#REF!),-IF(#REF!-#REF! = 0,"",#REF!-#REF!)),"")</f>
        <v/>
      </c>
    </row>
    <row r="13" spans="1:15" x14ac:dyDescent="0.25">
      <c r="A13">
        <v>9</v>
      </c>
      <c r="B13" s="1" t="s">
        <v>9</v>
      </c>
      <c r="C13" s="1">
        <v>9</v>
      </c>
      <c r="D13" s="9">
        <v>102</v>
      </c>
      <c r="G13" s="82" t="str">
        <f t="shared" si="0"/>
        <v/>
      </c>
      <c r="J13" s="83" t="str">
        <f t="shared" si="1"/>
        <v/>
      </c>
      <c r="K13" s="79" t="str">
        <f>IF(H5="","",0)</f>
        <v/>
      </c>
      <c r="L13" s="89" t="str">
        <f>IF(K13="","",COUNTIF(G:G,K13))</f>
        <v/>
      </c>
      <c r="M13" s="89" t="str">
        <f>IF(K13="","",COUNTIF(J:J,K13))</f>
        <v/>
      </c>
      <c r="N13" s="89" t="str">
        <f t="shared" ref="N13:N23" si="3">IF(K13="","",COUNTIF(C:C,K13))</f>
        <v/>
      </c>
    </row>
    <row r="14" spans="1:15" x14ac:dyDescent="0.25">
      <c r="A14">
        <v>10</v>
      </c>
      <c r="B14" s="1" t="s">
        <v>10</v>
      </c>
      <c r="C14" s="1">
        <v>7</v>
      </c>
      <c r="D14" s="9">
        <v>98</v>
      </c>
      <c r="G14" s="82" t="str">
        <f t="shared" si="0"/>
        <v/>
      </c>
      <c r="J14" s="83" t="str">
        <f t="shared" si="1"/>
        <v/>
      </c>
      <c r="K14" s="79" t="str">
        <f t="shared" ref="K14:K23" si="4">IF(H6="","",K13+1)</f>
        <v/>
      </c>
      <c r="L14" s="89" t="str">
        <f t="shared" ref="L14:L23" si="5">IF(K14="","",COUNTIF(G:G,K14))</f>
        <v/>
      </c>
      <c r="M14" s="89" t="str">
        <f t="shared" ref="M14:M22" si="6">IF(K15="","",COUNTIF(J:J,K14))</f>
        <v/>
      </c>
      <c r="N14" s="89" t="str">
        <f t="shared" si="3"/>
        <v/>
      </c>
    </row>
    <row r="15" spans="1:15" x14ac:dyDescent="0.25">
      <c r="A15">
        <v>11</v>
      </c>
      <c r="B15" s="1" t="s">
        <v>11</v>
      </c>
      <c r="C15" s="1">
        <v>9</v>
      </c>
      <c r="D15" s="9">
        <v>40</v>
      </c>
      <c r="G15" s="82" t="str">
        <f t="shared" si="0"/>
        <v/>
      </c>
      <c r="J15" s="83" t="str">
        <f t="shared" si="1"/>
        <v/>
      </c>
      <c r="K15" s="79" t="str">
        <f t="shared" si="4"/>
        <v/>
      </c>
      <c r="L15" s="89" t="str">
        <f t="shared" si="5"/>
        <v/>
      </c>
      <c r="M15" s="89" t="str">
        <f t="shared" si="6"/>
        <v/>
      </c>
      <c r="N15" s="89" t="str">
        <f t="shared" si="3"/>
        <v/>
      </c>
    </row>
    <row r="16" spans="1:15" x14ac:dyDescent="0.25">
      <c r="A16">
        <v>12</v>
      </c>
      <c r="B16" s="1" t="s">
        <v>12</v>
      </c>
      <c r="C16" s="1">
        <v>0</v>
      </c>
      <c r="D16" s="9">
        <v>10</v>
      </c>
      <c r="G16" s="82" t="str">
        <f t="shared" si="0"/>
        <v/>
      </c>
      <c r="J16" s="83" t="str">
        <f t="shared" si="1"/>
        <v/>
      </c>
      <c r="K16" s="79" t="str">
        <f t="shared" si="4"/>
        <v/>
      </c>
      <c r="L16" s="89" t="str">
        <f t="shared" si="5"/>
        <v/>
      </c>
      <c r="M16" s="89" t="str">
        <f t="shared" si="6"/>
        <v/>
      </c>
      <c r="N16" s="89" t="str">
        <f t="shared" si="3"/>
        <v/>
      </c>
    </row>
    <row r="17" spans="1:14" x14ac:dyDescent="0.25">
      <c r="A17">
        <v>13</v>
      </c>
      <c r="B17" s="1" t="s">
        <v>13</v>
      </c>
      <c r="C17" s="1">
        <v>8</v>
      </c>
      <c r="D17" s="9">
        <v>111</v>
      </c>
      <c r="G17" s="82" t="str">
        <f t="shared" si="0"/>
        <v/>
      </c>
      <c r="J17" s="83" t="str">
        <f t="shared" si="1"/>
        <v/>
      </c>
      <c r="K17" s="79" t="str">
        <f t="shared" si="4"/>
        <v/>
      </c>
      <c r="L17" s="89" t="str">
        <f t="shared" si="5"/>
        <v/>
      </c>
      <c r="M17" s="89" t="str">
        <f t="shared" si="6"/>
        <v/>
      </c>
      <c r="N17" s="89" t="str">
        <f t="shared" si="3"/>
        <v/>
      </c>
    </row>
    <row r="18" spans="1:14" ht="21" x14ac:dyDescent="0.25">
      <c r="A18">
        <v>14</v>
      </c>
      <c r="B18" s="1" t="s">
        <v>14</v>
      </c>
      <c r="C18" s="1">
        <v>3</v>
      </c>
      <c r="D18" s="9">
        <v>84</v>
      </c>
      <c r="G18" s="82" t="str">
        <f t="shared" si="0"/>
        <v/>
      </c>
      <c r="J18" s="83" t="str">
        <f t="shared" si="1"/>
        <v/>
      </c>
      <c r="K18" s="90" t="str">
        <f t="shared" si="4"/>
        <v/>
      </c>
      <c r="L18" s="89" t="str">
        <f t="shared" si="5"/>
        <v/>
      </c>
      <c r="M18" s="89" t="str">
        <f t="shared" si="6"/>
        <v/>
      </c>
      <c r="N18" s="89" t="str">
        <f t="shared" si="3"/>
        <v/>
      </c>
    </row>
    <row r="19" spans="1:14" x14ac:dyDescent="0.25">
      <c r="A19">
        <v>15</v>
      </c>
      <c r="B19" s="1" t="s">
        <v>15</v>
      </c>
      <c r="C19" s="1">
        <v>6</v>
      </c>
      <c r="D19" s="9">
        <v>114</v>
      </c>
      <c r="G19" s="82" t="str">
        <f t="shared" si="0"/>
        <v/>
      </c>
      <c r="J19" s="83" t="str">
        <f t="shared" si="1"/>
        <v/>
      </c>
      <c r="K19" s="79" t="str">
        <f t="shared" si="4"/>
        <v/>
      </c>
      <c r="L19" s="89" t="str">
        <f t="shared" si="5"/>
        <v/>
      </c>
      <c r="M19" s="89" t="str">
        <f t="shared" si="6"/>
        <v/>
      </c>
      <c r="N19" s="89" t="str">
        <f t="shared" si="3"/>
        <v/>
      </c>
    </row>
    <row r="20" spans="1:14" x14ac:dyDescent="0.25">
      <c r="A20">
        <v>16</v>
      </c>
      <c r="B20" s="1" t="s">
        <v>16</v>
      </c>
      <c r="C20" s="1">
        <v>3</v>
      </c>
      <c r="D20" s="9">
        <v>87</v>
      </c>
      <c r="G20" s="82" t="str">
        <f t="shared" ref="G20" si="7">IF(H20="","",IFERROR(VLOOKUP(H20-1,A:C,3,FALSE),0))</f>
        <v/>
      </c>
      <c r="J20" s="83" t="str">
        <f t="shared" si="1"/>
        <v/>
      </c>
      <c r="K20" s="79" t="str">
        <f t="shared" si="4"/>
        <v/>
      </c>
      <c r="L20" s="89" t="str">
        <f t="shared" si="5"/>
        <v/>
      </c>
      <c r="M20" s="89" t="str">
        <f t="shared" si="6"/>
        <v/>
      </c>
      <c r="N20" s="89" t="str">
        <f t="shared" si="3"/>
        <v/>
      </c>
    </row>
    <row r="21" spans="1:14" x14ac:dyDescent="0.25">
      <c r="A21">
        <v>17</v>
      </c>
      <c r="B21" s="1" t="s">
        <v>17</v>
      </c>
      <c r="C21" s="1">
        <v>7</v>
      </c>
      <c r="D21" s="9">
        <v>58</v>
      </c>
      <c r="G21" s="82" t="str">
        <f t="shared" si="0"/>
        <v/>
      </c>
      <c r="J21" s="83" t="str">
        <f t="shared" si="1"/>
        <v/>
      </c>
      <c r="K21" s="79" t="str">
        <f t="shared" si="4"/>
        <v/>
      </c>
      <c r="L21" s="89" t="str">
        <f t="shared" si="5"/>
        <v/>
      </c>
      <c r="M21" s="89" t="str">
        <f t="shared" si="6"/>
        <v/>
      </c>
      <c r="N21" s="89" t="str">
        <f t="shared" si="3"/>
        <v/>
      </c>
    </row>
    <row r="22" spans="1:14" x14ac:dyDescent="0.25">
      <c r="A22">
        <v>18</v>
      </c>
      <c r="B22" s="1" t="s">
        <v>18</v>
      </c>
      <c r="C22" s="1">
        <v>2</v>
      </c>
      <c r="D22" s="9">
        <v>36</v>
      </c>
      <c r="G22" s="82" t="str">
        <f t="shared" ref="G22:G23" si="8">IF(H22="","",IFERROR(VLOOKUP(I22-1,A:C,3,FALSE),0))</f>
        <v/>
      </c>
      <c r="J22" s="83" t="str">
        <f t="shared" si="1"/>
        <v/>
      </c>
      <c r="K22" s="79" t="str">
        <f t="shared" si="4"/>
        <v/>
      </c>
      <c r="L22" s="89" t="str">
        <f t="shared" si="5"/>
        <v/>
      </c>
      <c r="M22" s="89" t="str">
        <f t="shared" si="6"/>
        <v/>
      </c>
      <c r="N22" s="89" t="str">
        <f t="shared" si="3"/>
        <v/>
      </c>
    </row>
    <row r="23" spans="1:14" x14ac:dyDescent="0.25">
      <c r="A23">
        <v>19</v>
      </c>
      <c r="B23" s="1" t="s">
        <v>19</v>
      </c>
      <c r="C23" s="1">
        <v>10</v>
      </c>
      <c r="D23" s="9">
        <v>24</v>
      </c>
      <c r="G23" s="82" t="str">
        <f t="shared" si="8"/>
        <v/>
      </c>
      <c r="J23" s="83" t="str">
        <f t="shared" si="1"/>
        <v/>
      </c>
      <c r="K23" s="79" t="str">
        <f t="shared" si="4"/>
        <v/>
      </c>
      <c r="L23" s="89" t="str">
        <f t="shared" si="5"/>
        <v/>
      </c>
      <c r="M23" s="89" t="str">
        <f>IF(K23="","",COUNTIF(J:J,K23))</f>
        <v/>
      </c>
      <c r="N23" s="89" t="str">
        <f t="shared" si="3"/>
        <v/>
      </c>
    </row>
    <row r="24" spans="1:14" x14ac:dyDescent="0.25">
      <c r="A24">
        <v>20</v>
      </c>
      <c r="B24" s="1" t="s">
        <v>20</v>
      </c>
      <c r="C24" s="1">
        <v>8</v>
      </c>
      <c r="D24" s="9">
        <v>103</v>
      </c>
      <c r="J24" s="83" t="str">
        <f t="shared" si="1"/>
        <v/>
      </c>
      <c r="L24" s="89"/>
      <c r="M24" s="89"/>
      <c r="N24" s="89"/>
    </row>
    <row r="25" spans="1:14" x14ac:dyDescent="0.25">
      <c r="A25">
        <v>21</v>
      </c>
      <c r="B25" s="1" t="s">
        <v>21</v>
      </c>
      <c r="C25" s="1">
        <v>7</v>
      </c>
      <c r="D25" s="9">
        <v>45</v>
      </c>
      <c r="J25" s="83" t="str">
        <f t="shared" si="1"/>
        <v/>
      </c>
      <c r="L25" s="89"/>
      <c r="M25" s="89"/>
      <c r="N25" s="89"/>
    </row>
    <row r="26" spans="1:14" x14ac:dyDescent="0.25">
      <c r="A26">
        <v>22</v>
      </c>
      <c r="B26" s="1" t="s">
        <v>22</v>
      </c>
      <c r="C26" s="1">
        <v>3</v>
      </c>
      <c r="D26" s="9">
        <v>61</v>
      </c>
      <c r="J26" s="83" t="str">
        <f t="shared" si="1"/>
        <v/>
      </c>
      <c r="L26" s="89"/>
      <c r="M26" s="89"/>
      <c r="N26" s="89"/>
    </row>
    <row r="27" spans="1:14" x14ac:dyDescent="0.25">
      <c r="A27">
        <v>23</v>
      </c>
      <c r="B27" s="1" t="s">
        <v>23</v>
      </c>
      <c r="C27" s="1">
        <v>9</v>
      </c>
      <c r="D27" s="9">
        <v>99</v>
      </c>
      <c r="L27" s="89"/>
      <c r="M27" s="89"/>
      <c r="N27" s="89"/>
    </row>
    <row r="28" spans="1:14" x14ac:dyDescent="0.25">
      <c r="A28">
        <v>24</v>
      </c>
      <c r="B28" s="1" t="s">
        <v>24</v>
      </c>
      <c r="C28" s="1">
        <v>2</v>
      </c>
      <c r="D28" s="9">
        <v>66</v>
      </c>
      <c r="L28" s="89"/>
      <c r="M28" s="89"/>
      <c r="N28" s="89"/>
    </row>
    <row r="29" spans="1:14" x14ac:dyDescent="0.25">
      <c r="A29">
        <v>25</v>
      </c>
      <c r="B29" s="1" t="s">
        <v>25</v>
      </c>
      <c r="C29" s="1">
        <v>1</v>
      </c>
      <c r="D29" s="9">
        <v>52</v>
      </c>
      <c r="L29" s="89"/>
      <c r="M29" s="89"/>
      <c r="N29" s="89"/>
    </row>
    <row r="30" spans="1:14" x14ac:dyDescent="0.25">
      <c r="A30">
        <v>26</v>
      </c>
      <c r="B30" s="1" t="s">
        <v>26</v>
      </c>
      <c r="C30" s="1">
        <v>8</v>
      </c>
      <c r="D30" s="9">
        <v>61</v>
      </c>
      <c r="L30" s="89"/>
      <c r="M30" s="89"/>
      <c r="N30" s="89"/>
    </row>
    <row r="31" spans="1:14" x14ac:dyDescent="0.25">
      <c r="A31">
        <v>27</v>
      </c>
      <c r="B31" s="1" t="s">
        <v>27</v>
      </c>
      <c r="C31" s="1">
        <v>7</v>
      </c>
      <c r="D31" s="9">
        <v>98</v>
      </c>
      <c r="L31" s="89"/>
      <c r="M31" s="89"/>
      <c r="N31" s="89"/>
    </row>
    <row r="32" spans="1:14" x14ac:dyDescent="0.25">
      <c r="A32">
        <v>28</v>
      </c>
      <c r="B32" s="1" t="s">
        <v>28</v>
      </c>
      <c r="C32" s="1">
        <v>5</v>
      </c>
      <c r="D32" s="9">
        <v>117</v>
      </c>
      <c r="L32" s="89"/>
      <c r="M32" s="89"/>
      <c r="N32" s="89"/>
    </row>
    <row r="33" spans="1:14" x14ac:dyDescent="0.25">
      <c r="A33">
        <v>29</v>
      </c>
      <c r="B33" s="1" t="s">
        <v>29</v>
      </c>
      <c r="C33" s="1">
        <v>4</v>
      </c>
      <c r="D33" s="9">
        <v>112</v>
      </c>
      <c r="L33" s="89"/>
      <c r="M33" s="89"/>
      <c r="N33" s="89"/>
    </row>
    <row r="34" spans="1:14" x14ac:dyDescent="0.25">
      <c r="A34">
        <v>30</v>
      </c>
      <c r="B34" s="1" t="s">
        <v>30</v>
      </c>
      <c r="C34" s="1">
        <v>8</v>
      </c>
      <c r="D34" s="9">
        <v>13</v>
      </c>
      <c r="L34" s="89"/>
      <c r="M34" s="89"/>
      <c r="N34" s="89"/>
    </row>
    <row r="35" spans="1:14" x14ac:dyDescent="0.25">
      <c r="A35">
        <v>31</v>
      </c>
      <c r="B35" s="1" t="s">
        <v>31</v>
      </c>
      <c r="C35" s="1">
        <v>5</v>
      </c>
      <c r="D35" s="9">
        <v>47</v>
      </c>
      <c r="L35" s="89"/>
      <c r="M35" s="89"/>
      <c r="N35" s="89"/>
    </row>
    <row r="36" spans="1:14" x14ac:dyDescent="0.25">
      <c r="A36">
        <v>32</v>
      </c>
      <c r="B36" s="1" t="s">
        <v>32</v>
      </c>
      <c r="C36" s="1">
        <v>7</v>
      </c>
      <c r="D36" s="9">
        <v>107</v>
      </c>
      <c r="L36" s="89"/>
      <c r="M36" s="89"/>
      <c r="N36" s="89"/>
    </row>
    <row r="37" spans="1:14" x14ac:dyDescent="0.25">
      <c r="A37">
        <v>33</v>
      </c>
      <c r="B37" s="1" t="s">
        <v>33</v>
      </c>
      <c r="C37" s="1">
        <v>10</v>
      </c>
      <c r="D37" s="9">
        <v>114</v>
      </c>
      <c r="L37" s="89"/>
      <c r="M37" s="89"/>
      <c r="N37" s="89"/>
    </row>
    <row r="38" spans="1:14" x14ac:dyDescent="0.25">
      <c r="A38">
        <v>34</v>
      </c>
      <c r="B38" s="1" t="s">
        <v>34</v>
      </c>
      <c r="C38" s="1">
        <v>5</v>
      </c>
      <c r="D38" s="9">
        <v>27</v>
      </c>
      <c r="L38" s="89"/>
      <c r="M38" s="89"/>
      <c r="N38" s="89"/>
    </row>
    <row r="39" spans="1:14" x14ac:dyDescent="0.25">
      <c r="A39">
        <v>35</v>
      </c>
      <c r="B39" s="1" t="s">
        <v>35</v>
      </c>
      <c r="C39" s="1">
        <v>7</v>
      </c>
      <c r="D39" s="9">
        <v>90</v>
      </c>
      <c r="L39" s="89"/>
      <c r="M39" s="89"/>
      <c r="N39" s="89"/>
    </row>
    <row r="40" spans="1:14" x14ac:dyDescent="0.25">
      <c r="A40">
        <v>36</v>
      </c>
      <c r="B40" s="1" t="s">
        <v>36</v>
      </c>
      <c r="C40" s="1">
        <v>4</v>
      </c>
      <c r="D40" s="9">
        <v>40</v>
      </c>
      <c r="L40" s="89"/>
      <c r="M40" s="89"/>
      <c r="N40" s="89"/>
    </row>
    <row r="41" spans="1:14" x14ac:dyDescent="0.25">
      <c r="A41">
        <v>37</v>
      </c>
      <c r="B41" s="1" t="s">
        <v>37</v>
      </c>
      <c r="C41" s="1">
        <v>5</v>
      </c>
      <c r="D41" s="9">
        <v>100</v>
      </c>
      <c r="J41" s="83" t="str">
        <f t="shared" ref="J41" si="9">IF(I41="","",IFERROR(VLOOKUP(I41-1,A:C,3,FALSE),0))</f>
        <v/>
      </c>
    </row>
    <row r="42" spans="1:14" x14ac:dyDescent="0.25">
      <c r="A42">
        <v>38</v>
      </c>
      <c r="B42" s="1" t="s">
        <v>38</v>
      </c>
      <c r="C42" s="1">
        <v>8</v>
      </c>
      <c r="D42" s="9">
        <v>32</v>
      </c>
    </row>
    <row r="43" spans="1:14" x14ac:dyDescent="0.25">
      <c r="A43">
        <v>39</v>
      </c>
      <c r="B43" s="1" t="s">
        <v>39</v>
      </c>
      <c r="C43" s="1">
        <v>8</v>
      </c>
      <c r="D43" s="9">
        <v>18</v>
      </c>
    </row>
    <row r="44" spans="1:14" x14ac:dyDescent="0.25">
      <c r="A44">
        <v>40</v>
      </c>
      <c r="B44" s="1" t="s">
        <v>40</v>
      </c>
      <c r="C44" s="1">
        <v>2</v>
      </c>
      <c r="D44" s="9">
        <v>107</v>
      </c>
    </row>
    <row r="45" spans="1:14" x14ac:dyDescent="0.25">
      <c r="A45">
        <v>41</v>
      </c>
      <c r="B45" s="1" t="s">
        <v>41</v>
      </c>
      <c r="C45" s="1">
        <v>1</v>
      </c>
      <c r="D45" s="9">
        <v>14</v>
      </c>
    </row>
    <row r="46" spans="1:14" x14ac:dyDescent="0.25">
      <c r="A46">
        <v>42</v>
      </c>
      <c r="B46" s="1" t="s">
        <v>42</v>
      </c>
      <c r="C46" s="1">
        <v>6</v>
      </c>
      <c r="D46" s="9">
        <v>49</v>
      </c>
    </row>
    <row r="47" spans="1:14" x14ac:dyDescent="0.25">
      <c r="A47">
        <v>43</v>
      </c>
      <c r="B47" s="2" t="s">
        <v>43</v>
      </c>
      <c r="C47" s="2">
        <v>6</v>
      </c>
      <c r="D47" s="10">
        <v>30</v>
      </c>
    </row>
  </sheetData>
  <autoFilter ref="A4:E47" xr:uid="{00000000-0009-0000-0000-000002000000}">
    <sortState ref="A5:E47">
      <sortCondition ref="A4:A47"/>
    </sortState>
  </autoFilter>
  <sortState ref="A5:D47">
    <sortCondition ref="A5"/>
  </sortState>
  <mergeCells count="4">
    <mergeCell ref="L11:N11"/>
    <mergeCell ref="H3:I3"/>
    <mergeCell ref="L3:N3"/>
    <mergeCell ref="A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ouristTour">
                <anchor moveWithCells="1" sizeWithCells="1">
                  <from>
                    <xdr:col>11</xdr:col>
                    <xdr:colOff>171450</xdr:colOff>
                    <xdr:row>0</xdr:row>
                    <xdr:rowOff>200025</xdr:rowOff>
                  </from>
                  <to>
                    <xdr:col>12</xdr:col>
                    <xdr:colOff>209550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O47"/>
  <sheetViews>
    <sheetView zoomScale="70" zoomScaleNormal="70" workbookViewId="0">
      <selection sqref="A1:K1"/>
    </sheetView>
  </sheetViews>
  <sheetFormatPr defaultRowHeight="15" x14ac:dyDescent="0.25"/>
  <cols>
    <col min="2" max="2" width="27.42578125" customWidth="1"/>
    <col min="4" max="4" width="19.28515625" customWidth="1"/>
    <col min="5" max="5" width="2" bestFit="1" customWidth="1"/>
    <col min="6" max="6" width="4.7109375" bestFit="1" customWidth="1"/>
    <col min="7" max="7" width="2.5703125" style="82" customWidth="1"/>
    <col min="8" max="8" width="14.140625" style="30" customWidth="1"/>
    <col min="9" max="9" width="12.85546875" style="30" customWidth="1"/>
    <col min="10" max="10" width="2" style="83" customWidth="1"/>
    <col min="11" max="11" width="14.28515625" style="34" bestFit="1" customWidth="1"/>
    <col min="12" max="12" width="15" style="30" customWidth="1"/>
    <col min="13" max="13" width="12" style="30" customWidth="1"/>
    <col min="14" max="14" width="16" style="30" bestFit="1" customWidth="1"/>
    <col min="15" max="15" width="4" customWidth="1"/>
  </cols>
  <sheetData>
    <row r="1" spans="1:15" s="94" customFormat="1" ht="51" customHeight="1" thickBot="1" x14ac:dyDescent="0.3">
      <c r="A1" s="98" t="s">
        <v>75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5"/>
      <c r="M1" s="95"/>
      <c r="N1" s="95"/>
    </row>
    <row r="2" spans="1:15" x14ac:dyDescent="0.25">
      <c r="B2" s="2" t="s">
        <v>46</v>
      </c>
      <c r="C2" s="92">
        <v>480</v>
      </c>
      <c r="D2" s="93" t="s">
        <v>49</v>
      </c>
      <c r="E2" s="2">
        <v>2</v>
      </c>
      <c r="F2" s="93" t="s">
        <v>48</v>
      </c>
    </row>
    <row r="3" spans="1:15" ht="18.75" x14ac:dyDescent="0.3">
      <c r="H3" s="97" t="s">
        <v>56</v>
      </c>
      <c r="I3" s="97"/>
      <c r="J3" s="84"/>
      <c r="L3" s="97" t="s">
        <v>59</v>
      </c>
      <c r="M3" s="97"/>
      <c r="N3" s="97"/>
      <c r="O3" s="22"/>
    </row>
    <row r="4" spans="1:15" x14ac:dyDescent="0.25">
      <c r="B4" s="7"/>
      <c r="C4" s="7" t="s">
        <v>45</v>
      </c>
      <c r="D4" s="3" t="s">
        <v>47</v>
      </c>
      <c r="H4" s="21" t="s">
        <v>50</v>
      </c>
      <c r="I4" s="24" t="s">
        <v>51</v>
      </c>
      <c r="J4" s="42"/>
      <c r="K4" s="44"/>
      <c r="L4" s="33" t="s">
        <v>58</v>
      </c>
      <c r="M4" s="33" t="s">
        <v>57</v>
      </c>
      <c r="N4" s="33" t="s">
        <v>60</v>
      </c>
      <c r="O4" s="29"/>
    </row>
    <row r="5" spans="1:15" x14ac:dyDescent="0.25">
      <c r="A5">
        <v>1</v>
      </c>
      <c r="B5" s="1" t="s">
        <v>1</v>
      </c>
      <c r="C5" s="8">
        <v>10</v>
      </c>
      <c r="D5" s="8">
        <v>26</v>
      </c>
      <c r="G5" s="82" t="str">
        <f t="shared" ref="G5:G25" si="0">IF(H5="","",IFERROR(VLOOKUP(H5-1,A:C,3,FALSE),0))</f>
        <v/>
      </c>
      <c r="J5" s="83" t="str">
        <f t="shared" ref="J5:J26" si="1">IF(I5="","",IFERROR(VLOOKUP(I5-1,A:C,3,FALSE),0))</f>
        <v/>
      </c>
      <c r="K5" s="43"/>
      <c r="L5" s="35"/>
      <c r="M5" s="36"/>
      <c r="N5" s="27" t="str">
        <f>IF(L5="","",L5-M5)</f>
        <v/>
      </c>
      <c r="O5" s="28"/>
    </row>
    <row r="6" spans="1:15" x14ac:dyDescent="0.25">
      <c r="A6">
        <v>2</v>
      </c>
      <c r="B6" s="1" t="s">
        <v>2</v>
      </c>
      <c r="C6" s="1">
        <v>8</v>
      </c>
      <c r="D6" s="9">
        <v>61</v>
      </c>
      <c r="G6" s="82" t="str">
        <f t="shared" si="0"/>
        <v/>
      </c>
      <c r="J6" s="83" t="str">
        <f t="shared" si="1"/>
        <v/>
      </c>
      <c r="K6" s="43"/>
      <c r="L6" s="35"/>
      <c r="M6" s="36"/>
      <c r="N6" s="27" t="str">
        <f t="shared" ref="N6:N9" si="2">IF(L6="","",L6-M6)</f>
        <v/>
      </c>
      <c r="O6" s="28"/>
    </row>
    <row r="7" spans="1:15" x14ac:dyDescent="0.25">
      <c r="A7">
        <v>3</v>
      </c>
      <c r="B7" s="1" t="s">
        <v>3</v>
      </c>
      <c r="C7" s="1">
        <v>9</v>
      </c>
      <c r="D7" s="9">
        <v>64</v>
      </c>
      <c r="G7" s="82" t="str">
        <f t="shared" si="0"/>
        <v/>
      </c>
      <c r="J7" s="83" t="str">
        <f t="shared" si="1"/>
        <v/>
      </c>
      <c r="K7" s="44"/>
      <c r="L7" s="35"/>
      <c r="M7" s="36"/>
      <c r="N7" s="27" t="str">
        <f t="shared" si="2"/>
        <v/>
      </c>
      <c r="O7" s="28"/>
    </row>
    <row r="8" spans="1:15" x14ac:dyDescent="0.25">
      <c r="A8">
        <v>4</v>
      </c>
      <c r="B8" s="1" t="s">
        <v>4</v>
      </c>
      <c r="C8" s="1">
        <v>6</v>
      </c>
      <c r="D8" s="9">
        <v>116</v>
      </c>
      <c r="G8" s="82" t="str">
        <f t="shared" si="0"/>
        <v/>
      </c>
      <c r="J8" s="83" t="str">
        <f t="shared" si="1"/>
        <v/>
      </c>
      <c r="K8" s="43"/>
      <c r="L8" s="35"/>
      <c r="M8" s="35"/>
      <c r="N8" s="27" t="str">
        <f t="shared" si="2"/>
        <v/>
      </c>
      <c r="O8" s="28"/>
    </row>
    <row r="9" spans="1:15" x14ac:dyDescent="0.25">
      <c r="A9">
        <v>5</v>
      </c>
      <c r="B9" s="1" t="s">
        <v>5</v>
      </c>
      <c r="C9" s="1">
        <v>1</v>
      </c>
      <c r="D9" s="9">
        <v>39</v>
      </c>
      <c r="G9" s="82" t="str">
        <f t="shared" si="0"/>
        <v/>
      </c>
      <c r="J9" s="83" t="str">
        <f t="shared" si="1"/>
        <v/>
      </c>
      <c r="K9" s="44"/>
      <c r="L9" s="41"/>
      <c r="M9" s="41"/>
      <c r="N9" s="27" t="str">
        <f t="shared" si="2"/>
        <v/>
      </c>
      <c r="O9" s="28"/>
    </row>
    <row r="10" spans="1:15" x14ac:dyDescent="0.25">
      <c r="A10">
        <v>6</v>
      </c>
      <c r="B10" s="1" t="s">
        <v>6</v>
      </c>
      <c r="C10" s="1">
        <v>8</v>
      </c>
      <c r="D10" s="9">
        <v>18</v>
      </c>
      <c r="G10" s="82" t="str">
        <f t="shared" si="0"/>
        <v/>
      </c>
      <c r="J10" s="83" t="str">
        <f t="shared" si="1"/>
        <v/>
      </c>
      <c r="K10" s="79"/>
      <c r="N10" s="27"/>
    </row>
    <row r="11" spans="1:15" ht="15.75" x14ac:dyDescent="0.25">
      <c r="A11">
        <v>7</v>
      </c>
      <c r="B11" s="1" t="s">
        <v>7</v>
      </c>
      <c r="C11" s="1">
        <v>1</v>
      </c>
      <c r="D11" s="9">
        <v>10</v>
      </c>
      <c r="G11" s="82" t="str">
        <f t="shared" si="0"/>
        <v/>
      </c>
      <c r="J11" s="83" t="str">
        <f t="shared" si="1"/>
        <v/>
      </c>
      <c r="L11" s="96" t="s">
        <v>70</v>
      </c>
      <c r="M11" s="96"/>
      <c r="N11" s="96"/>
    </row>
    <row r="12" spans="1:15" x14ac:dyDescent="0.25">
      <c r="A12">
        <v>8</v>
      </c>
      <c r="B12" s="1" t="s">
        <v>8</v>
      </c>
      <c r="C12" s="1">
        <v>10</v>
      </c>
      <c r="D12" s="9">
        <v>108</v>
      </c>
      <c r="G12" s="82" t="str">
        <f t="shared" si="0"/>
        <v/>
      </c>
      <c r="J12" s="83" t="str">
        <f t="shared" si="1"/>
        <v/>
      </c>
      <c r="K12" s="43" t="str">
        <f>IF(I12="","","interest score")</f>
        <v/>
      </c>
      <c r="L12" s="80" t="s">
        <v>58</v>
      </c>
      <c r="M12" s="80" t="s">
        <v>68</v>
      </c>
      <c r="N12" s="81" t="str">
        <f>IFERROR(IF(K12="Interest",IF(#REF!-#REF! = 0,"",#REF!-#REF!),-IF(#REF!-#REF! = 0,"",#REF!-#REF!)),"")</f>
        <v/>
      </c>
    </row>
    <row r="13" spans="1:15" x14ac:dyDescent="0.25">
      <c r="A13">
        <v>9</v>
      </c>
      <c r="B13" s="1" t="s">
        <v>9</v>
      </c>
      <c r="C13" s="1">
        <v>1</v>
      </c>
      <c r="D13" s="9">
        <v>62</v>
      </c>
      <c r="G13" s="82" t="str">
        <f t="shared" si="0"/>
        <v/>
      </c>
      <c r="J13" s="83" t="str">
        <f t="shared" si="1"/>
        <v/>
      </c>
      <c r="K13" s="79" t="str">
        <f>IF(H5="","",0)</f>
        <v/>
      </c>
      <c r="L13" s="89" t="str">
        <f>IF(K13="","",COUNTIF(G:G,K13))</f>
        <v/>
      </c>
      <c r="M13" s="89" t="str">
        <f>IF(K13="","",COUNTIF(J:J,K13))</f>
        <v/>
      </c>
      <c r="N13" s="89" t="str">
        <f t="shared" ref="N13:N23" si="3">IF(K13="","",COUNTIF(C:C,K13))</f>
        <v/>
      </c>
    </row>
    <row r="14" spans="1:15" x14ac:dyDescent="0.25">
      <c r="A14">
        <v>10</v>
      </c>
      <c r="B14" s="1" t="s">
        <v>10</v>
      </c>
      <c r="C14" s="1">
        <v>6</v>
      </c>
      <c r="D14" s="9">
        <v>113</v>
      </c>
      <c r="G14" s="82" t="str">
        <f t="shared" si="0"/>
        <v/>
      </c>
      <c r="J14" s="83" t="str">
        <f t="shared" si="1"/>
        <v/>
      </c>
      <c r="K14" s="79" t="str">
        <f t="shared" ref="K14:K23" si="4">IF(H6="","",K13+1)</f>
        <v/>
      </c>
      <c r="L14" s="89" t="str">
        <f t="shared" ref="L14:L23" si="5">IF(K14="","",COUNTIF(G:G,K14))</f>
        <v/>
      </c>
      <c r="M14" s="89" t="str">
        <f t="shared" ref="M14:M22" si="6">IF(K15="","",COUNTIF(J:J,K14))</f>
        <v/>
      </c>
      <c r="N14" s="89" t="str">
        <f t="shared" si="3"/>
        <v/>
      </c>
    </row>
    <row r="15" spans="1:15" x14ac:dyDescent="0.25">
      <c r="A15">
        <v>11</v>
      </c>
      <c r="B15" s="1" t="s">
        <v>11</v>
      </c>
      <c r="C15" s="1">
        <v>10</v>
      </c>
      <c r="D15" s="9">
        <v>57</v>
      </c>
      <c r="G15" s="82" t="str">
        <f t="shared" si="0"/>
        <v/>
      </c>
      <c r="J15" s="83" t="str">
        <f t="shared" si="1"/>
        <v/>
      </c>
      <c r="K15" s="79" t="str">
        <f t="shared" si="4"/>
        <v/>
      </c>
      <c r="L15" s="89" t="str">
        <f t="shared" si="5"/>
        <v/>
      </c>
      <c r="M15" s="89" t="str">
        <f t="shared" si="6"/>
        <v/>
      </c>
      <c r="N15" s="89" t="str">
        <f t="shared" si="3"/>
        <v/>
      </c>
    </row>
    <row r="16" spans="1:15" x14ac:dyDescent="0.25">
      <c r="A16">
        <v>12</v>
      </c>
      <c r="B16" s="1" t="s">
        <v>12</v>
      </c>
      <c r="C16" s="1">
        <v>6</v>
      </c>
      <c r="D16" s="9">
        <v>28</v>
      </c>
      <c r="G16" s="82" t="str">
        <f t="shared" si="0"/>
        <v/>
      </c>
      <c r="J16" s="83" t="str">
        <f t="shared" si="1"/>
        <v/>
      </c>
      <c r="K16" s="79" t="str">
        <f t="shared" si="4"/>
        <v/>
      </c>
      <c r="L16" s="89" t="str">
        <f t="shared" si="5"/>
        <v/>
      </c>
      <c r="M16" s="89" t="str">
        <f t="shared" si="6"/>
        <v/>
      </c>
      <c r="N16" s="89" t="str">
        <f t="shared" si="3"/>
        <v/>
      </c>
    </row>
    <row r="17" spans="1:14" x14ac:dyDescent="0.25">
      <c r="A17">
        <v>13</v>
      </c>
      <c r="B17" s="1" t="s">
        <v>13</v>
      </c>
      <c r="C17" s="1">
        <v>8</v>
      </c>
      <c r="D17" s="9">
        <v>72</v>
      </c>
      <c r="G17" s="82" t="str">
        <f t="shared" si="0"/>
        <v/>
      </c>
      <c r="J17" s="83" t="str">
        <f t="shared" si="1"/>
        <v/>
      </c>
      <c r="K17" s="79" t="str">
        <f t="shared" si="4"/>
        <v/>
      </c>
      <c r="L17" s="89" t="str">
        <f t="shared" si="5"/>
        <v/>
      </c>
      <c r="M17" s="89" t="str">
        <f t="shared" si="6"/>
        <v/>
      </c>
      <c r="N17" s="89" t="str">
        <f t="shared" si="3"/>
        <v/>
      </c>
    </row>
    <row r="18" spans="1:14" ht="21" x14ac:dyDescent="0.25">
      <c r="A18">
        <v>14</v>
      </c>
      <c r="B18" s="1" t="s">
        <v>14</v>
      </c>
      <c r="C18" s="1">
        <v>9</v>
      </c>
      <c r="D18" s="9">
        <v>101</v>
      </c>
      <c r="G18" s="82" t="str">
        <f t="shared" si="0"/>
        <v/>
      </c>
      <c r="J18" s="83" t="str">
        <f t="shared" si="1"/>
        <v/>
      </c>
      <c r="K18" s="91" t="str">
        <f t="shared" si="4"/>
        <v/>
      </c>
      <c r="L18" s="89" t="str">
        <f t="shared" si="5"/>
        <v/>
      </c>
      <c r="M18" s="89" t="str">
        <f t="shared" si="6"/>
        <v/>
      </c>
      <c r="N18" s="89" t="str">
        <f t="shared" si="3"/>
        <v/>
      </c>
    </row>
    <row r="19" spans="1:14" x14ac:dyDescent="0.25">
      <c r="A19">
        <v>15</v>
      </c>
      <c r="B19" s="1" t="s">
        <v>15</v>
      </c>
      <c r="C19" s="1">
        <v>1</v>
      </c>
      <c r="D19" s="9">
        <v>118</v>
      </c>
      <c r="G19" s="82" t="str">
        <f t="shared" si="0"/>
        <v/>
      </c>
      <c r="J19" s="83" t="str">
        <f t="shared" si="1"/>
        <v/>
      </c>
      <c r="K19" s="79" t="str">
        <f t="shared" si="4"/>
        <v/>
      </c>
      <c r="L19" s="89" t="str">
        <f t="shared" si="5"/>
        <v/>
      </c>
      <c r="M19" s="89" t="str">
        <f t="shared" si="6"/>
        <v/>
      </c>
      <c r="N19" s="89" t="str">
        <f t="shared" si="3"/>
        <v/>
      </c>
    </row>
    <row r="20" spans="1:14" x14ac:dyDescent="0.25">
      <c r="A20">
        <v>16</v>
      </c>
      <c r="B20" s="1" t="s">
        <v>16</v>
      </c>
      <c r="C20" s="1">
        <v>5</v>
      </c>
      <c r="D20" s="9">
        <v>83</v>
      </c>
      <c r="G20" s="82" t="str">
        <f t="shared" si="0"/>
        <v/>
      </c>
      <c r="J20" s="83" t="str">
        <f t="shared" si="1"/>
        <v/>
      </c>
      <c r="K20" s="79" t="str">
        <f t="shared" si="4"/>
        <v/>
      </c>
      <c r="L20" s="89" t="str">
        <f t="shared" si="5"/>
        <v/>
      </c>
      <c r="M20" s="89" t="str">
        <f t="shared" si="6"/>
        <v/>
      </c>
      <c r="N20" s="89" t="str">
        <f t="shared" si="3"/>
        <v/>
      </c>
    </row>
    <row r="21" spans="1:14" x14ac:dyDescent="0.25">
      <c r="A21">
        <v>17</v>
      </c>
      <c r="B21" s="1" t="s">
        <v>17</v>
      </c>
      <c r="C21" s="1">
        <v>2</v>
      </c>
      <c r="D21" s="9">
        <v>70</v>
      </c>
      <c r="G21" s="82" t="str">
        <f t="shared" si="0"/>
        <v/>
      </c>
      <c r="J21" s="83" t="str">
        <f t="shared" si="1"/>
        <v/>
      </c>
      <c r="K21" s="79" t="str">
        <f t="shared" si="4"/>
        <v/>
      </c>
      <c r="L21" s="89" t="str">
        <f t="shared" si="5"/>
        <v/>
      </c>
      <c r="M21" s="89" t="str">
        <f t="shared" si="6"/>
        <v/>
      </c>
      <c r="N21" s="89" t="str">
        <f t="shared" si="3"/>
        <v/>
      </c>
    </row>
    <row r="22" spans="1:14" x14ac:dyDescent="0.25">
      <c r="A22">
        <v>18</v>
      </c>
      <c r="B22" s="1" t="s">
        <v>18</v>
      </c>
      <c r="C22" s="1">
        <v>0</v>
      </c>
      <c r="D22" s="9">
        <v>110</v>
      </c>
      <c r="G22" s="82" t="str">
        <f t="shared" si="0"/>
        <v/>
      </c>
      <c r="J22" s="83" t="str">
        <f t="shared" si="1"/>
        <v/>
      </c>
      <c r="K22" s="79" t="str">
        <f t="shared" si="4"/>
        <v/>
      </c>
      <c r="L22" s="89" t="str">
        <f t="shared" si="5"/>
        <v/>
      </c>
      <c r="M22" s="89" t="str">
        <f t="shared" si="6"/>
        <v/>
      </c>
      <c r="N22" s="89" t="str">
        <f t="shared" si="3"/>
        <v/>
      </c>
    </row>
    <row r="23" spans="1:14" x14ac:dyDescent="0.25">
      <c r="A23">
        <v>19</v>
      </c>
      <c r="B23" s="1" t="s">
        <v>19</v>
      </c>
      <c r="C23" s="1">
        <v>0</v>
      </c>
      <c r="D23" s="9">
        <v>52</v>
      </c>
      <c r="G23" s="82" t="str">
        <f t="shared" si="0"/>
        <v/>
      </c>
      <c r="J23" s="83" t="str">
        <f t="shared" si="1"/>
        <v/>
      </c>
      <c r="K23" s="79" t="str">
        <f t="shared" si="4"/>
        <v/>
      </c>
      <c r="L23" s="89" t="str">
        <f t="shared" si="5"/>
        <v/>
      </c>
      <c r="M23" s="89" t="str">
        <f>IF(K23="","",COUNTIF(J:J,K23))</f>
        <v/>
      </c>
      <c r="N23" s="89" t="str">
        <f t="shared" si="3"/>
        <v/>
      </c>
    </row>
    <row r="24" spans="1:14" x14ac:dyDescent="0.25">
      <c r="A24">
        <v>20</v>
      </c>
      <c r="B24" s="1" t="s">
        <v>20</v>
      </c>
      <c r="C24" s="1">
        <v>4</v>
      </c>
      <c r="D24" s="9">
        <v>63</v>
      </c>
      <c r="G24" s="82" t="str">
        <f t="shared" ref="G24" si="7">IF(H24="","",IFERROR(VLOOKUP(H24-1,A:C,3,FALSE),0))</f>
        <v/>
      </c>
      <c r="J24" s="83" t="str">
        <f t="shared" si="1"/>
        <v/>
      </c>
      <c r="L24" s="89"/>
      <c r="M24" s="89"/>
      <c r="N24" s="89"/>
    </row>
    <row r="25" spans="1:14" x14ac:dyDescent="0.25">
      <c r="A25">
        <v>21</v>
      </c>
      <c r="B25" s="1" t="s">
        <v>21</v>
      </c>
      <c r="C25" s="1">
        <v>10</v>
      </c>
      <c r="D25" s="9">
        <v>77</v>
      </c>
      <c r="G25" s="82" t="str">
        <f t="shared" si="0"/>
        <v/>
      </c>
      <c r="J25" s="83" t="str">
        <f t="shared" si="1"/>
        <v/>
      </c>
      <c r="L25" s="89"/>
      <c r="M25" s="89"/>
      <c r="N25" s="89"/>
    </row>
    <row r="26" spans="1:14" x14ac:dyDescent="0.25">
      <c r="A26">
        <v>22</v>
      </c>
      <c r="B26" s="1" t="s">
        <v>22</v>
      </c>
      <c r="C26" s="1">
        <v>4</v>
      </c>
      <c r="D26" s="9">
        <v>25</v>
      </c>
      <c r="J26" s="83" t="str">
        <f t="shared" si="1"/>
        <v/>
      </c>
      <c r="L26" s="89"/>
      <c r="M26" s="89"/>
      <c r="N26" s="89"/>
    </row>
    <row r="27" spans="1:14" x14ac:dyDescent="0.25">
      <c r="A27">
        <v>23</v>
      </c>
      <c r="B27" s="1" t="s">
        <v>23</v>
      </c>
      <c r="C27" s="1">
        <v>10</v>
      </c>
      <c r="D27" s="9">
        <v>12</v>
      </c>
      <c r="L27" s="89"/>
      <c r="M27" s="89"/>
      <c r="N27" s="89"/>
    </row>
    <row r="28" spans="1:14" x14ac:dyDescent="0.25">
      <c r="A28">
        <v>24</v>
      </c>
      <c r="B28" s="1" t="s">
        <v>24</v>
      </c>
      <c r="C28" s="1">
        <v>4</v>
      </c>
      <c r="D28" s="9">
        <v>33</v>
      </c>
      <c r="L28" s="89"/>
      <c r="M28" s="89"/>
      <c r="N28" s="89"/>
    </row>
    <row r="29" spans="1:14" x14ac:dyDescent="0.25">
      <c r="A29">
        <v>25</v>
      </c>
      <c r="B29" s="1" t="s">
        <v>25</v>
      </c>
      <c r="C29" s="1">
        <v>8</v>
      </c>
      <c r="D29" s="9">
        <v>104</v>
      </c>
      <c r="L29" s="89"/>
      <c r="M29" s="89"/>
      <c r="N29" s="89"/>
    </row>
    <row r="30" spans="1:14" x14ac:dyDescent="0.25">
      <c r="A30">
        <v>26</v>
      </c>
      <c r="B30" s="1" t="s">
        <v>26</v>
      </c>
      <c r="C30" s="1">
        <v>8</v>
      </c>
      <c r="D30" s="9">
        <v>99</v>
      </c>
      <c r="L30" s="89"/>
      <c r="M30" s="89"/>
      <c r="N30" s="89"/>
    </row>
    <row r="31" spans="1:14" x14ac:dyDescent="0.25">
      <c r="A31">
        <v>27</v>
      </c>
      <c r="B31" s="1" t="s">
        <v>27</v>
      </c>
      <c r="C31" s="1">
        <v>5</v>
      </c>
      <c r="D31" s="9">
        <v>120</v>
      </c>
      <c r="L31" s="89"/>
      <c r="M31" s="89"/>
      <c r="N31" s="89"/>
    </row>
    <row r="32" spans="1:14" x14ac:dyDescent="0.25">
      <c r="A32">
        <v>28</v>
      </c>
      <c r="B32" s="1" t="s">
        <v>28</v>
      </c>
      <c r="C32" s="1">
        <v>2</v>
      </c>
      <c r="D32" s="9">
        <v>62</v>
      </c>
      <c r="L32" s="89"/>
      <c r="M32" s="89"/>
      <c r="N32" s="89"/>
    </row>
    <row r="33" spans="1:14" x14ac:dyDescent="0.25">
      <c r="A33">
        <v>29</v>
      </c>
      <c r="B33" s="1" t="s">
        <v>29</v>
      </c>
      <c r="C33" s="1">
        <v>10</v>
      </c>
      <c r="D33" s="9">
        <v>80</v>
      </c>
      <c r="L33" s="89"/>
      <c r="M33" s="89"/>
      <c r="N33" s="89"/>
    </row>
    <row r="34" spans="1:14" x14ac:dyDescent="0.25">
      <c r="A34">
        <v>30</v>
      </c>
      <c r="B34" s="1" t="s">
        <v>30</v>
      </c>
      <c r="C34" s="1">
        <v>6</v>
      </c>
      <c r="D34" s="9">
        <v>87</v>
      </c>
      <c r="L34" s="89"/>
      <c r="M34" s="89"/>
      <c r="N34" s="89"/>
    </row>
    <row r="35" spans="1:14" x14ac:dyDescent="0.25">
      <c r="A35">
        <v>31</v>
      </c>
      <c r="B35" s="1" t="s">
        <v>31</v>
      </c>
      <c r="C35" s="1">
        <v>9</v>
      </c>
      <c r="D35" s="9">
        <v>67</v>
      </c>
      <c r="L35" s="89"/>
      <c r="M35" s="89"/>
      <c r="N35" s="89"/>
    </row>
    <row r="36" spans="1:14" x14ac:dyDescent="0.25">
      <c r="A36">
        <v>32</v>
      </c>
      <c r="B36" s="1" t="s">
        <v>32</v>
      </c>
      <c r="C36" s="1">
        <v>6</v>
      </c>
      <c r="D36" s="9">
        <v>90</v>
      </c>
      <c r="L36" s="89"/>
      <c r="M36" s="89"/>
      <c r="N36" s="89"/>
    </row>
    <row r="37" spans="1:14" x14ac:dyDescent="0.25">
      <c r="A37">
        <v>33</v>
      </c>
      <c r="B37" s="1" t="s">
        <v>33</v>
      </c>
      <c r="C37" s="1">
        <v>6</v>
      </c>
      <c r="D37" s="9">
        <v>92</v>
      </c>
      <c r="L37" s="89"/>
      <c r="M37" s="89"/>
      <c r="N37" s="89"/>
    </row>
    <row r="38" spans="1:14" x14ac:dyDescent="0.25">
      <c r="A38">
        <v>34</v>
      </c>
      <c r="B38" s="1" t="s">
        <v>34</v>
      </c>
      <c r="C38" s="1">
        <v>9</v>
      </c>
      <c r="D38" s="9">
        <v>65</v>
      </c>
      <c r="L38" s="89"/>
      <c r="M38" s="89"/>
      <c r="N38" s="89"/>
    </row>
    <row r="39" spans="1:14" x14ac:dyDescent="0.25">
      <c r="A39">
        <v>35</v>
      </c>
      <c r="B39" s="1" t="s">
        <v>35</v>
      </c>
      <c r="C39" s="1">
        <v>5</v>
      </c>
      <c r="D39" s="9">
        <v>32</v>
      </c>
      <c r="L39" s="89"/>
      <c r="M39" s="89"/>
      <c r="N39" s="89"/>
    </row>
    <row r="40" spans="1:14" x14ac:dyDescent="0.25">
      <c r="A40">
        <v>36</v>
      </c>
      <c r="B40" s="1" t="s">
        <v>36</v>
      </c>
      <c r="C40" s="1">
        <v>8</v>
      </c>
      <c r="D40" s="9">
        <v>117</v>
      </c>
      <c r="L40" s="89"/>
      <c r="M40" s="89"/>
      <c r="N40" s="89"/>
    </row>
    <row r="41" spans="1:14" x14ac:dyDescent="0.25">
      <c r="A41">
        <v>37</v>
      </c>
      <c r="B41" s="1" t="s">
        <v>37</v>
      </c>
      <c r="C41" s="1">
        <v>8</v>
      </c>
      <c r="D41" s="9">
        <v>23</v>
      </c>
      <c r="J41" s="83" t="str">
        <f t="shared" ref="J41" si="8">IF(I41="","",IFERROR(VLOOKUP(I41-1,A:C,3,FALSE),0))</f>
        <v/>
      </c>
    </row>
    <row r="42" spans="1:14" x14ac:dyDescent="0.25">
      <c r="A42">
        <v>38</v>
      </c>
      <c r="B42" s="1" t="s">
        <v>38</v>
      </c>
      <c r="C42" s="1">
        <v>4</v>
      </c>
      <c r="D42" s="9">
        <v>46</v>
      </c>
    </row>
    <row r="43" spans="1:14" x14ac:dyDescent="0.25">
      <c r="A43">
        <v>39</v>
      </c>
      <c r="B43" s="1" t="s">
        <v>39</v>
      </c>
      <c r="C43" s="1">
        <v>7</v>
      </c>
      <c r="D43" s="9">
        <v>19</v>
      </c>
    </row>
    <row r="44" spans="1:14" x14ac:dyDescent="0.25">
      <c r="A44">
        <v>40</v>
      </c>
      <c r="B44" s="1" t="s">
        <v>40</v>
      </c>
      <c r="C44" s="1">
        <v>5</v>
      </c>
      <c r="D44" s="9">
        <v>74</v>
      </c>
    </row>
    <row r="45" spans="1:14" x14ac:dyDescent="0.25">
      <c r="A45">
        <v>41</v>
      </c>
      <c r="B45" s="1" t="s">
        <v>41</v>
      </c>
      <c r="C45" s="1">
        <v>2</v>
      </c>
      <c r="D45" s="9">
        <v>39</v>
      </c>
    </row>
    <row r="46" spans="1:14" x14ac:dyDescent="0.25">
      <c r="A46">
        <v>42</v>
      </c>
      <c r="B46" s="1" t="s">
        <v>42</v>
      </c>
      <c r="C46" s="1">
        <v>9</v>
      </c>
      <c r="D46" s="9">
        <v>57</v>
      </c>
    </row>
    <row r="47" spans="1:14" x14ac:dyDescent="0.25">
      <c r="A47">
        <v>43</v>
      </c>
      <c r="B47" s="2" t="s">
        <v>43</v>
      </c>
      <c r="C47" s="2">
        <v>0</v>
      </c>
      <c r="D47" s="10">
        <v>40</v>
      </c>
    </row>
  </sheetData>
  <autoFilter ref="A4:D47" xr:uid="{00000000-0009-0000-0000-000003000000}"/>
  <mergeCells count="4">
    <mergeCell ref="L11:N11"/>
    <mergeCell ref="H3:I3"/>
    <mergeCell ref="L3:N3"/>
    <mergeCell ref="A1:K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O143"/>
  <sheetViews>
    <sheetView zoomScale="85" zoomScaleNormal="85" workbookViewId="0">
      <selection sqref="A1:K1"/>
    </sheetView>
  </sheetViews>
  <sheetFormatPr defaultRowHeight="15" x14ac:dyDescent="0.25"/>
  <cols>
    <col min="2" max="2" width="27.42578125" customWidth="1"/>
    <col min="4" max="4" width="19.28515625" customWidth="1"/>
    <col min="5" max="5" width="2" bestFit="1" customWidth="1"/>
    <col min="6" max="6" width="4.7109375" bestFit="1" customWidth="1"/>
    <col min="7" max="7" width="2.5703125" style="82" customWidth="1"/>
    <col min="8" max="8" width="14.140625" style="30" customWidth="1"/>
    <col min="9" max="9" width="12.85546875" style="30" customWidth="1"/>
    <col min="10" max="10" width="2" style="83" customWidth="1"/>
    <col min="11" max="11" width="14.28515625" style="34" bestFit="1" customWidth="1"/>
    <col min="12" max="12" width="15" style="30" customWidth="1"/>
    <col min="13" max="13" width="12" style="30" customWidth="1"/>
    <col min="14" max="14" width="15.42578125" style="30" bestFit="1" customWidth="1"/>
    <col min="15" max="15" width="4" customWidth="1"/>
  </cols>
  <sheetData>
    <row r="1" spans="1:15" s="94" customFormat="1" ht="51" customHeight="1" thickBot="1" x14ac:dyDescent="0.3">
      <c r="A1" s="98" t="s">
        <v>75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5"/>
      <c r="M1" s="95"/>
      <c r="N1" s="95"/>
    </row>
    <row r="2" spans="1:15" x14ac:dyDescent="0.25">
      <c r="B2" s="2" t="s">
        <v>46</v>
      </c>
      <c r="C2" s="92">
        <v>420</v>
      </c>
      <c r="D2" s="93" t="s">
        <v>49</v>
      </c>
      <c r="E2" s="2">
        <v>1</v>
      </c>
      <c r="F2" s="93" t="s">
        <v>48</v>
      </c>
    </row>
    <row r="3" spans="1:15" ht="18.75" x14ac:dyDescent="0.3">
      <c r="H3" s="97" t="s">
        <v>56</v>
      </c>
      <c r="I3" s="97"/>
      <c r="J3" s="84"/>
      <c r="L3" s="100" t="s">
        <v>59</v>
      </c>
      <c r="M3" s="100"/>
      <c r="N3" s="100"/>
      <c r="O3" s="31"/>
    </row>
    <row r="4" spans="1:15" x14ac:dyDescent="0.25">
      <c r="B4" s="7"/>
      <c r="C4" s="7" t="s">
        <v>45</v>
      </c>
      <c r="D4" s="3" t="s">
        <v>47</v>
      </c>
      <c r="H4" s="21" t="s">
        <v>50</v>
      </c>
      <c r="I4" s="24" t="s">
        <v>51</v>
      </c>
      <c r="J4" s="42"/>
      <c r="K4" s="44"/>
      <c r="L4" s="33" t="s">
        <v>58</v>
      </c>
      <c r="M4" s="33" t="s">
        <v>57</v>
      </c>
      <c r="N4" s="33" t="s">
        <v>60</v>
      </c>
      <c r="O4" s="28"/>
    </row>
    <row r="5" spans="1:15" x14ac:dyDescent="0.25">
      <c r="A5">
        <v>1</v>
      </c>
      <c r="B5" s="1" t="s">
        <v>1</v>
      </c>
      <c r="C5" s="8">
        <v>3</v>
      </c>
      <c r="D5" s="8">
        <v>96</v>
      </c>
      <c r="G5" s="82" t="str">
        <f>IF(H5="","",IFERROR(VLOOKUP(I5-1,A:C,3,FALSE),0))</f>
        <v/>
      </c>
      <c r="J5" s="83" t="str">
        <f>IF(I5="","",IFERROR(VLOOKUP(I5-1,A:C,3,FALSE),0))</f>
        <v/>
      </c>
      <c r="K5" s="43"/>
      <c r="L5" s="35"/>
      <c r="M5" s="35"/>
      <c r="N5" s="27" t="str">
        <f>IF(L5="","",L5-M5)</f>
        <v/>
      </c>
      <c r="O5" s="28"/>
    </row>
    <row r="6" spans="1:15" x14ac:dyDescent="0.25">
      <c r="A6">
        <v>2</v>
      </c>
      <c r="B6" s="1" t="s">
        <v>2</v>
      </c>
      <c r="C6" s="1">
        <v>8</v>
      </c>
      <c r="D6" s="9">
        <v>70</v>
      </c>
      <c r="G6" s="82" t="str">
        <f t="shared" ref="G6:G23" si="0">IF(H6="","",IFERROR(VLOOKUP(I6-1,A:C,3,FALSE),0))</f>
        <v/>
      </c>
      <c r="J6" s="83" t="str">
        <f t="shared" ref="J6:J23" si="1">IF(I6="","",IFERROR(VLOOKUP(I6-1,A:C,3,FALSE),0))</f>
        <v/>
      </c>
      <c r="K6" s="43"/>
      <c r="L6" s="35"/>
      <c r="M6" s="35"/>
      <c r="N6" s="27" t="str">
        <f t="shared" ref="N6:N9" si="2">IF(L6="","",L6-M6)</f>
        <v/>
      </c>
      <c r="O6" s="28"/>
    </row>
    <row r="7" spans="1:15" x14ac:dyDescent="0.25">
      <c r="A7">
        <v>3</v>
      </c>
      <c r="B7" s="1" t="s">
        <v>3</v>
      </c>
      <c r="C7" s="1">
        <v>9</v>
      </c>
      <c r="D7" s="9">
        <v>42</v>
      </c>
      <c r="G7" s="82" t="str">
        <f t="shared" si="0"/>
        <v/>
      </c>
      <c r="J7" s="83" t="str">
        <f t="shared" si="1"/>
        <v/>
      </c>
      <c r="K7" s="44"/>
      <c r="L7" s="35"/>
      <c r="M7" s="35"/>
      <c r="N7" s="27" t="str">
        <f t="shared" si="2"/>
        <v/>
      </c>
      <c r="O7" s="28"/>
    </row>
    <row r="8" spans="1:15" x14ac:dyDescent="0.25">
      <c r="A8">
        <v>4</v>
      </c>
      <c r="B8" s="1" t="s">
        <v>4</v>
      </c>
      <c r="C8" s="1">
        <v>3</v>
      </c>
      <c r="D8" s="9">
        <v>106</v>
      </c>
      <c r="G8" s="82" t="str">
        <f t="shared" si="0"/>
        <v/>
      </c>
      <c r="J8" s="83" t="str">
        <f t="shared" si="1"/>
        <v/>
      </c>
      <c r="K8" s="43"/>
      <c r="L8" s="40"/>
      <c r="M8" s="40"/>
      <c r="N8" s="27" t="str">
        <f t="shared" si="2"/>
        <v/>
      </c>
      <c r="O8" s="28"/>
    </row>
    <row r="9" spans="1:15" x14ac:dyDescent="0.25">
      <c r="A9">
        <v>5</v>
      </c>
      <c r="B9" s="1" t="s">
        <v>5</v>
      </c>
      <c r="C9" s="1">
        <v>4</v>
      </c>
      <c r="D9" s="9">
        <v>21</v>
      </c>
      <c r="G9" s="82" t="str">
        <f t="shared" si="0"/>
        <v/>
      </c>
      <c r="J9" s="83" t="str">
        <f t="shared" si="1"/>
        <v/>
      </c>
      <c r="K9" s="44"/>
      <c r="L9" s="35"/>
      <c r="M9" s="35"/>
      <c r="N9" s="27" t="str">
        <f t="shared" si="2"/>
        <v/>
      </c>
      <c r="O9" s="28"/>
    </row>
    <row r="10" spans="1:15" x14ac:dyDescent="0.25">
      <c r="A10">
        <v>6</v>
      </c>
      <c r="B10" s="1" t="s">
        <v>6</v>
      </c>
      <c r="C10" s="1">
        <v>1</v>
      </c>
      <c r="D10" s="9">
        <v>58</v>
      </c>
      <c r="G10" s="82" t="str">
        <f t="shared" si="0"/>
        <v/>
      </c>
      <c r="J10" s="83" t="str">
        <f t="shared" si="1"/>
        <v/>
      </c>
      <c r="K10" s="79"/>
      <c r="N10" s="27"/>
    </row>
    <row r="11" spans="1:15" ht="15.75" x14ac:dyDescent="0.25">
      <c r="A11">
        <v>7</v>
      </c>
      <c r="B11" s="1" t="s">
        <v>7</v>
      </c>
      <c r="C11" s="1">
        <v>8</v>
      </c>
      <c r="D11" s="9">
        <v>13</v>
      </c>
      <c r="G11" s="82" t="str">
        <f t="shared" si="0"/>
        <v/>
      </c>
      <c r="J11" s="83" t="str">
        <f t="shared" si="1"/>
        <v/>
      </c>
      <c r="L11" s="96" t="s">
        <v>70</v>
      </c>
      <c r="M11" s="96"/>
      <c r="N11" s="96"/>
    </row>
    <row r="12" spans="1:15" x14ac:dyDescent="0.25">
      <c r="A12">
        <v>8</v>
      </c>
      <c r="B12" s="1" t="s">
        <v>8</v>
      </c>
      <c r="C12" s="1">
        <v>2</v>
      </c>
      <c r="D12" s="9">
        <v>78</v>
      </c>
      <c r="G12" s="82" t="str">
        <f t="shared" si="0"/>
        <v/>
      </c>
      <c r="J12" s="83" t="str">
        <f t="shared" si="1"/>
        <v/>
      </c>
      <c r="K12" s="43" t="str">
        <f>IF(I12="","","interest score")</f>
        <v/>
      </c>
      <c r="L12" s="80" t="s">
        <v>58</v>
      </c>
      <c r="M12" s="80" t="s">
        <v>68</v>
      </c>
      <c r="N12" s="81" t="str">
        <f>IFERROR(IF(K12="Interest",IF(#REF!-#REF! = 0,"",#REF!-#REF!),-IF(#REF!-#REF! = 0,"",#REF!-#REF!)),"")</f>
        <v/>
      </c>
    </row>
    <row r="13" spans="1:15" x14ac:dyDescent="0.25">
      <c r="A13">
        <v>9</v>
      </c>
      <c r="B13" s="1" t="s">
        <v>9</v>
      </c>
      <c r="C13" s="1">
        <v>2</v>
      </c>
      <c r="D13" s="9">
        <v>55</v>
      </c>
      <c r="G13" s="82" t="str">
        <f t="shared" si="0"/>
        <v/>
      </c>
      <c r="J13" s="83" t="str">
        <f t="shared" si="1"/>
        <v/>
      </c>
      <c r="K13" s="79" t="str">
        <f>IF(H5="","",0)</f>
        <v/>
      </c>
      <c r="L13" s="89" t="str">
        <f>IF(K13="","",COUNTIF(G:G,K13))</f>
        <v/>
      </c>
      <c r="M13" s="89" t="str">
        <f>IF(K13="","",COUNTIF(J:J,K13))</f>
        <v/>
      </c>
      <c r="N13" s="89" t="str">
        <f t="shared" ref="N13:N23" si="3">IF(K13="","",COUNTIF(C:C,K13))</f>
        <v/>
      </c>
    </row>
    <row r="14" spans="1:15" x14ac:dyDescent="0.25">
      <c r="A14">
        <v>10</v>
      </c>
      <c r="B14" s="1" t="s">
        <v>10</v>
      </c>
      <c r="C14" s="1">
        <v>10</v>
      </c>
      <c r="D14" s="9">
        <v>69</v>
      </c>
      <c r="G14" s="82" t="str">
        <f t="shared" si="0"/>
        <v/>
      </c>
      <c r="J14" s="83" t="str">
        <f t="shared" si="1"/>
        <v/>
      </c>
      <c r="K14" s="79" t="str">
        <f t="shared" ref="K14:K23" si="4">IF(H6="","",K13+1)</f>
        <v/>
      </c>
      <c r="L14" s="89" t="str">
        <f t="shared" ref="L14:L23" si="5">IF(K14="","",COUNTIF(G:G,K14))</f>
        <v/>
      </c>
      <c r="M14" s="89" t="str">
        <f t="shared" ref="M14:M22" si="6">IF(K15="","",COUNTIF(J:J,K14))</f>
        <v/>
      </c>
      <c r="N14" s="89" t="str">
        <f t="shared" si="3"/>
        <v/>
      </c>
    </row>
    <row r="15" spans="1:15" x14ac:dyDescent="0.25">
      <c r="A15">
        <v>11</v>
      </c>
      <c r="B15" s="1" t="s">
        <v>11</v>
      </c>
      <c r="C15" s="1">
        <v>5</v>
      </c>
      <c r="D15" s="9">
        <v>70</v>
      </c>
      <c r="G15" s="82" t="str">
        <f t="shared" si="0"/>
        <v/>
      </c>
      <c r="J15" s="83" t="str">
        <f t="shared" si="1"/>
        <v/>
      </c>
      <c r="K15" s="79" t="str">
        <f t="shared" si="4"/>
        <v/>
      </c>
      <c r="L15" s="89" t="str">
        <f t="shared" si="5"/>
        <v/>
      </c>
      <c r="M15" s="89" t="str">
        <f t="shared" si="6"/>
        <v/>
      </c>
      <c r="N15" s="89" t="str">
        <f t="shared" si="3"/>
        <v/>
      </c>
    </row>
    <row r="16" spans="1:15" x14ac:dyDescent="0.25">
      <c r="A16">
        <v>12</v>
      </c>
      <c r="B16" s="1" t="s">
        <v>12</v>
      </c>
      <c r="C16" s="1">
        <v>2</v>
      </c>
      <c r="D16" s="9">
        <v>106</v>
      </c>
      <c r="G16" s="82" t="str">
        <f t="shared" si="0"/>
        <v/>
      </c>
      <c r="J16" s="83" t="str">
        <f t="shared" si="1"/>
        <v/>
      </c>
      <c r="K16" s="79" t="str">
        <f t="shared" si="4"/>
        <v/>
      </c>
      <c r="L16" s="89" t="str">
        <f t="shared" si="5"/>
        <v/>
      </c>
      <c r="M16" s="89" t="str">
        <f t="shared" si="6"/>
        <v/>
      </c>
      <c r="N16" s="89" t="str">
        <f t="shared" si="3"/>
        <v/>
      </c>
    </row>
    <row r="17" spans="1:14" x14ac:dyDescent="0.25">
      <c r="A17">
        <v>13</v>
      </c>
      <c r="B17" s="1" t="s">
        <v>13</v>
      </c>
      <c r="C17" s="1">
        <v>7</v>
      </c>
      <c r="D17" s="9">
        <v>81</v>
      </c>
      <c r="G17" s="82" t="str">
        <f t="shared" si="0"/>
        <v/>
      </c>
      <c r="J17" s="83" t="str">
        <f t="shared" si="1"/>
        <v/>
      </c>
      <c r="K17" s="79" t="str">
        <f t="shared" si="4"/>
        <v/>
      </c>
      <c r="L17" s="89" t="str">
        <f t="shared" si="5"/>
        <v/>
      </c>
      <c r="M17" s="89" t="str">
        <f t="shared" si="6"/>
        <v/>
      </c>
      <c r="N17" s="89" t="str">
        <f t="shared" si="3"/>
        <v/>
      </c>
    </row>
    <row r="18" spans="1:14" ht="21" x14ac:dyDescent="0.25">
      <c r="A18">
        <v>14</v>
      </c>
      <c r="B18" s="1" t="s">
        <v>14</v>
      </c>
      <c r="C18" s="1">
        <v>6</v>
      </c>
      <c r="D18" s="9">
        <v>15</v>
      </c>
      <c r="G18" s="82" t="str">
        <f t="shared" si="0"/>
        <v/>
      </c>
      <c r="J18" s="83" t="str">
        <f t="shared" si="1"/>
        <v/>
      </c>
      <c r="K18" s="91" t="str">
        <f t="shared" si="4"/>
        <v/>
      </c>
      <c r="L18" s="89" t="str">
        <f t="shared" si="5"/>
        <v/>
      </c>
      <c r="M18" s="89" t="str">
        <f t="shared" si="6"/>
        <v/>
      </c>
      <c r="N18" s="89" t="str">
        <f t="shared" si="3"/>
        <v/>
      </c>
    </row>
    <row r="19" spans="1:14" x14ac:dyDescent="0.25">
      <c r="A19">
        <v>15</v>
      </c>
      <c r="B19" s="1" t="s">
        <v>15</v>
      </c>
      <c r="C19" s="1">
        <v>6</v>
      </c>
      <c r="D19" s="9">
        <v>45</v>
      </c>
      <c r="G19" s="82" t="str">
        <f t="shared" si="0"/>
        <v/>
      </c>
      <c r="J19" s="83" t="str">
        <f t="shared" si="1"/>
        <v/>
      </c>
      <c r="K19" s="79" t="str">
        <f t="shared" si="4"/>
        <v/>
      </c>
      <c r="L19" s="89" t="str">
        <f t="shared" si="5"/>
        <v/>
      </c>
      <c r="M19" s="89" t="str">
        <f t="shared" si="6"/>
        <v/>
      </c>
      <c r="N19" s="89" t="str">
        <f t="shared" si="3"/>
        <v/>
      </c>
    </row>
    <row r="20" spans="1:14" x14ac:dyDescent="0.25">
      <c r="A20">
        <v>16</v>
      </c>
      <c r="B20" s="1" t="s">
        <v>16</v>
      </c>
      <c r="C20" s="1">
        <v>10</v>
      </c>
      <c r="D20" s="9">
        <v>83</v>
      </c>
      <c r="G20" s="82" t="str">
        <f t="shared" si="0"/>
        <v/>
      </c>
      <c r="J20" s="83" t="str">
        <f t="shared" si="1"/>
        <v/>
      </c>
      <c r="K20" s="79" t="str">
        <f t="shared" si="4"/>
        <v/>
      </c>
      <c r="L20" s="89" t="str">
        <f t="shared" si="5"/>
        <v/>
      </c>
      <c r="M20" s="89" t="str">
        <f t="shared" si="6"/>
        <v/>
      </c>
      <c r="N20" s="89" t="str">
        <f t="shared" si="3"/>
        <v/>
      </c>
    </row>
    <row r="21" spans="1:14" x14ac:dyDescent="0.25">
      <c r="A21">
        <v>17</v>
      </c>
      <c r="B21" s="1" t="s">
        <v>17</v>
      </c>
      <c r="C21" s="1">
        <v>8</v>
      </c>
      <c r="D21" s="9">
        <v>105</v>
      </c>
      <c r="G21" s="82" t="str">
        <f t="shared" si="0"/>
        <v/>
      </c>
      <c r="J21" s="83" t="str">
        <f t="shared" si="1"/>
        <v/>
      </c>
      <c r="K21" s="79" t="str">
        <f t="shared" si="4"/>
        <v/>
      </c>
      <c r="L21" s="89" t="str">
        <f t="shared" si="5"/>
        <v/>
      </c>
      <c r="M21" s="89" t="str">
        <f t="shared" si="6"/>
        <v/>
      </c>
      <c r="N21" s="89" t="str">
        <f t="shared" si="3"/>
        <v/>
      </c>
    </row>
    <row r="22" spans="1:14" x14ac:dyDescent="0.25">
      <c r="A22">
        <v>18</v>
      </c>
      <c r="B22" s="1" t="s">
        <v>18</v>
      </c>
      <c r="C22" s="1">
        <v>0</v>
      </c>
      <c r="D22" s="9">
        <v>94</v>
      </c>
      <c r="G22" s="82" t="str">
        <f t="shared" si="0"/>
        <v/>
      </c>
      <c r="J22" s="83" t="str">
        <f t="shared" si="1"/>
        <v/>
      </c>
      <c r="K22" s="79" t="str">
        <f t="shared" si="4"/>
        <v/>
      </c>
      <c r="L22" s="89" t="str">
        <f t="shared" si="5"/>
        <v/>
      </c>
      <c r="M22" s="89" t="str">
        <f t="shared" si="6"/>
        <v/>
      </c>
      <c r="N22" s="89" t="str">
        <f t="shared" si="3"/>
        <v/>
      </c>
    </row>
    <row r="23" spans="1:14" x14ac:dyDescent="0.25">
      <c r="A23">
        <v>19</v>
      </c>
      <c r="B23" s="1" t="s">
        <v>19</v>
      </c>
      <c r="C23" s="1">
        <v>4</v>
      </c>
      <c r="D23" s="9">
        <v>95</v>
      </c>
      <c r="G23" s="82" t="str">
        <f t="shared" si="0"/>
        <v/>
      </c>
      <c r="J23" s="83" t="str">
        <f t="shared" si="1"/>
        <v/>
      </c>
      <c r="K23" s="79" t="str">
        <f t="shared" si="4"/>
        <v/>
      </c>
      <c r="L23" s="89" t="str">
        <f t="shared" si="5"/>
        <v/>
      </c>
      <c r="M23" s="89" t="str">
        <f>IF(K23="","",COUNTIF(J:J,K23))</f>
        <v/>
      </c>
      <c r="N23" s="89" t="str">
        <f t="shared" si="3"/>
        <v/>
      </c>
    </row>
    <row r="24" spans="1:14" x14ac:dyDescent="0.25">
      <c r="A24">
        <v>20</v>
      </c>
      <c r="B24" s="1" t="s">
        <v>20</v>
      </c>
      <c r="C24" s="1">
        <v>6</v>
      </c>
      <c r="D24" s="9">
        <v>68</v>
      </c>
      <c r="L24" s="89"/>
      <c r="M24" s="89"/>
      <c r="N24" s="89"/>
    </row>
    <row r="25" spans="1:14" x14ac:dyDescent="0.25">
      <c r="A25">
        <v>21</v>
      </c>
      <c r="B25" s="1" t="s">
        <v>21</v>
      </c>
      <c r="C25" s="1">
        <v>6</v>
      </c>
      <c r="D25" s="9">
        <v>15</v>
      </c>
      <c r="L25" s="89"/>
      <c r="M25" s="89"/>
      <c r="N25" s="89"/>
    </row>
    <row r="26" spans="1:14" x14ac:dyDescent="0.25">
      <c r="A26">
        <v>22</v>
      </c>
      <c r="B26" s="1" t="s">
        <v>22</v>
      </c>
      <c r="C26" s="1">
        <v>7</v>
      </c>
      <c r="D26" s="9">
        <v>39</v>
      </c>
      <c r="L26" s="89"/>
      <c r="M26" s="89"/>
      <c r="N26" s="89"/>
    </row>
    <row r="27" spans="1:14" x14ac:dyDescent="0.25">
      <c r="A27">
        <v>23</v>
      </c>
      <c r="B27" s="1" t="s">
        <v>23</v>
      </c>
      <c r="C27" s="1">
        <v>10</v>
      </c>
      <c r="D27" s="9">
        <v>22</v>
      </c>
      <c r="L27" s="89"/>
      <c r="M27" s="89"/>
      <c r="N27" s="89"/>
    </row>
    <row r="28" spans="1:14" x14ac:dyDescent="0.25">
      <c r="A28">
        <v>24</v>
      </c>
      <c r="B28" s="1" t="s">
        <v>24</v>
      </c>
      <c r="C28" s="1">
        <v>5</v>
      </c>
      <c r="D28" s="9">
        <v>58</v>
      </c>
      <c r="L28" s="89"/>
      <c r="M28" s="89"/>
      <c r="N28" s="89"/>
    </row>
    <row r="29" spans="1:14" x14ac:dyDescent="0.25">
      <c r="A29">
        <v>25</v>
      </c>
      <c r="B29" s="1" t="s">
        <v>25</v>
      </c>
      <c r="C29" s="1">
        <v>3</v>
      </c>
      <c r="D29" s="9">
        <v>30</v>
      </c>
      <c r="L29" s="89"/>
      <c r="M29" s="89"/>
      <c r="N29" s="89"/>
    </row>
    <row r="30" spans="1:14" x14ac:dyDescent="0.25">
      <c r="A30">
        <v>26</v>
      </c>
      <c r="B30" s="1" t="s">
        <v>26</v>
      </c>
      <c r="C30" s="1">
        <v>4</v>
      </c>
      <c r="D30" s="9">
        <v>67</v>
      </c>
      <c r="L30" s="89"/>
      <c r="M30" s="89"/>
      <c r="N30" s="89"/>
    </row>
    <row r="31" spans="1:14" x14ac:dyDescent="0.25">
      <c r="A31">
        <v>27</v>
      </c>
      <c r="B31" s="1" t="s">
        <v>27</v>
      </c>
      <c r="C31" s="1">
        <v>10</v>
      </c>
      <c r="D31" s="9">
        <v>53</v>
      </c>
      <c r="L31" s="89"/>
      <c r="M31" s="89"/>
      <c r="N31" s="89"/>
    </row>
    <row r="32" spans="1:14" x14ac:dyDescent="0.25">
      <c r="A32">
        <v>28</v>
      </c>
      <c r="B32" s="1" t="s">
        <v>28</v>
      </c>
      <c r="C32" s="1">
        <v>6</v>
      </c>
      <c r="D32" s="9">
        <v>23</v>
      </c>
      <c r="L32" s="89"/>
      <c r="M32" s="89"/>
      <c r="N32" s="89"/>
    </row>
    <row r="33" spans="1:14" x14ac:dyDescent="0.25">
      <c r="A33">
        <v>29</v>
      </c>
      <c r="B33" s="1" t="s">
        <v>29</v>
      </c>
      <c r="C33" s="1">
        <v>9</v>
      </c>
      <c r="D33" s="9">
        <v>87</v>
      </c>
      <c r="L33" s="89"/>
      <c r="M33" s="89"/>
      <c r="N33" s="89"/>
    </row>
    <row r="34" spans="1:14" x14ac:dyDescent="0.25">
      <c r="A34">
        <v>30</v>
      </c>
      <c r="B34" s="1" t="s">
        <v>30</v>
      </c>
      <c r="C34" s="1">
        <v>8</v>
      </c>
      <c r="D34" s="9">
        <v>45</v>
      </c>
      <c r="L34" s="89"/>
      <c r="M34" s="89"/>
      <c r="N34" s="89"/>
    </row>
    <row r="35" spans="1:14" x14ac:dyDescent="0.25">
      <c r="A35">
        <v>31</v>
      </c>
      <c r="B35" s="1" t="s">
        <v>31</v>
      </c>
      <c r="C35" s="1">
        <v>8</v>
      </c>
      <c r="D35" s="9">
        <v>84</v>
      </c>
      <c r="L35" s="89"/>
      <c r="M35" s="89"/>
      <c r="N35" s="89"/>
    </row>
    <row r="36" spans="1:14" x14ac:dyDescent="0.25">
      <c r="A36">
        <v>32</v>
      </c>
      <c r="B36" s="1" t="s">
        <v>32</v>
      </c>
      <c r="C36" s="1">
        <v>6</v>
      </c>
      <c r="D36" s="9">
        <v>43</v>
      </c>
      <c r="L36" s="89"/>
      <c r="M36" s="89"/>
      <c r="N36" s="89"/>
    </row>
    <row r="37" spans="1:14" x14ac:dyDescent="0.25">
      <c r="A37">
        <v>33</v>
      </c>
      <c r="B37" s="1" t="s">
        <v>33</v>
      </c>
      <c r="C37" s="1">
        <v>6</v>
      </c>
      <c r="D37" s="9">
        <v>65</v>
      </c>
      <c r="L37" s="89"/>
      <c r="M37" s="89"/>
      <c r="N37" s="89"/>
    </row>
    <row r="38" spans="1:14" x14ac:dyDescent="0.25">
      <c r="A38">
        <v>34</v>
      </c>
      <c r="B38" s="1" t="s">
        <v>34</v>
      </c>
      <c r="C38" s="1">
        <v>1</v>
      </c>
      <c r="D38" s="9">
        <v>41</v>
      </c>
      <c r="L38" s="89"/>
      <c r="M38" s="89"/>
      <c r="N38" s="89"/>
    </row>
    <row r="39" spans="1:14" x14ac:dyDescent="0.25">
      <c r="A39">
        <v>35</v>
      </c>
      <c r="B39" s="1" t="s">
        <v>35</v>
      </c>
      <c r="C39" s="1">
        <v>5</v>
      </c>
      <c r="D39" s="9">
        <v>101</v>
      </c>
      <c r="L39" s="89"/>
      <c r="M39" s="89"/>
      <c r="N39" s="89"/>
    </row>
    <row r="40" spans="1:14" x14ac:dyDescent="0.25">
      <c r="A40">
        <v>36</v>
      </c>
      <c r="B40" s="1" t="s">
        <v>36</v>
      </c>
      <c r="C40" s="1">
        <v>0</v>
      </c>
      <c r="D40" s="9">
        <v>92</v>
      </c>
      <c r="L40" s="89"/>
      <c r="M40" s="89"/>
      <c r="N40" s="89"/>
    </row>
    <row r="41" spans="1:14" x14ac:dyDescent="0.25">
      <c r="A41">
        <v>37</v>
      </c>
      <c r="B41" s="1" t="s">
        <v>37</v>
      </c>
      <c r="C41" s="1">
        <v>3</v>
      </c>
      <c r="D41" s="9">
        <v>99</v>
      </c>
      <c r="J41" s="83" t="str">
        <f t="shared" ref="J41" si="7">IF(I41="","",IFERROR(VLOOKUP(I41-1,A:C,3,FALSE),0))</f>
        <v/>
      </c>
      <c r="L41" s="89"/>
      <c r="M41" s="89"/>
      <c r="N41" s="89"/>
    </row>
    <row r="42" spans="1:14" x14ac:dyDescent="0.25">
      <c r="A42">
        <v>38</v>
      </c>
      <c r="B42" s="1" t="s">
        <v>38</v>
      </c>
      <c r="C42" s="1">
        <v>4</v>
      </c>
      <c r="D42" s="9">
        <v>88</v>
      </c>
    </row>
    <row r="43" spans="1:14" x14ac:dyDescent="0.25">
      <c r="A43">
        <v>39</v>
      </c>
      <c r="B43" s="1" t="s">
        <v>39</v>
      </c>
      <c r="C43" s="1">
        <v>7</v>
      </c>
      <c r="D43" s="9">
        <v>41</v>
      </c>
    </row>
    <row r="44" spans="1:14" x14ac:dyDescent="0.25">
      <c r="A44">
        <v>40</v>
      </c>
      <c r="B44" s="1" t="s">
        <v>40</v>
      </c>
      <c r="C44" s="1">
        <v>2</v>
      </c>
      <c r="D44" s="9">
        <v>115</v>
      </c>
    </row>
    <row r="45" spans="1:14" x14ac:dyDescent="0.25">
      <c r="A45">
        <v>41</v>
      </c>
      <c r="B45" s="1" t="s">
        <v>41</v>
      </c>
      <c r="C45" s="1">
        <v>9</v>
      </c>
      <c r="D45" s="9">
        <v>119</v>
      </c>
    </row>
    <row r="46" spans="1:14" x14ac:dyDescent="0.25">
      <c r="A46">
        <v>42</v>
      </c>
      <c r="B46" s="1" t="s">
        <v>42</v>
      </c>
      <c r="C46" s="1">
        <v>3</v>
      </c>
      <c r="D46" s="9">
        <v>56</v>
      </c>
    </row>
    <row r="47" spans="1:14" x14ac:dyDescent="0.25">
      <c r="A47">
        <v>43</v>
      </c>
      <c r="B47" s="2" t="s">
        <v>43</v>
      </c>
      <c r="C47" s="2">
        <v>9</v>
      </c>
      <c r="D47" s="10">
        <v>34</v>
      </c>
    </row>
    <row r="93" spans="8:8" x14ac:dyDescent="0.25">
      <c r="H93" s="30">
        <v>1</v>
      </c>
    </row>
    <row r="94" spans="8:8" x14ac:dyDescent="0.25">
      <c r="H94" s="30">
        <v>1</v>
      </c>
    </row>
    <row r="95" spans="8:8" x14ac:dyDescent="0.25">
      <c r="H95" s="30">
        <v>1</v>
      </c>
    </row>
    <row r="96" spans="8:8" x14ac:dyDescent="0.25">
      <c r="H96" s="30">
        <v>1</v>
      </c>
    </row>
    <row r="97" spans="8:8" x14ac:dyDescent="0.25">
      <c r="H97" s="30">
        <v>1</v>
      </c>
    </row>
    <row r="98" spans="8:8" x14ac:dyDescent="0.25">
      <c r="H98" s="30">
        <v>1</v>
      </c>
    </row>
    <row r="99" spans="8:8" x14ac:dyDescent="0.25">
      <c r="H99" s="30">
        <v>1</v>
      </c>
    </row>
    <row r="100" spans="8:8" x14ac:dyDescent="0.25">
      <c r="H100" s="30">
        <v>1</v>
      </c>
    </row>
    <row r="101" spans="8:8" x14ac:dyDescent="0.25">
      <c r="H101" s="30">
        <v>1</v>
      </c>
    </row>
    <row r="102" spans="8:8" x14ac:dyDescent="0.25">
      <c r="H102" s="30">
        <v>1</v>
      </c>
    </row>
    <row r="103" spans="8:8" x14ac:dyDescent="0.25">
      <c r="H103" s="30">
        <v>1</v>
      </c>
    </row>
    <row r="104" spans="8:8" x14ac:dyDescent="0.25">
      <c r="H104" s="30">
        <v>1</v>
      </c>
    </row>
    <row r="105" spans="8:8" x14ac:dyDescent="0.25">
      <c r="H105" s="30">
        <v>1</v>
      </c>
    </row>
    <row r="106" spans="8:8" x14ac:dyDescent="0.25">
      <c r="H106" s="30">
        <v>1</v>
      </c>
    </row>
    <row r="107" spans="8:8" x14ac:dyDescent="0.25">
      <c r="H107" s="30">
        <v>1</v>
      </c>
    </row>
    <row r="108" spans="8:8" x14ac:dyDescent="0.25">
      <c r="H108" s="30">
        <v>1</v>
      </c>
    </row>
    <row r="109" spans="8:8" x14ac:dyDescent="0.25">
      <c r="H109" s="30">
        <v>1</v>
      </c>
    </row>
    <row r="110" spans="8:8" x14ac:dyDescent="0.25">
      <c r="H110" s="30">
        <v>1</v>
      </c>
    </row>
    <row r="111" spans="8:8" x14ac:dyDescent="0.25">
      <c r="H111" s="30">
        <v>1</v>
      </c>
    </row>
    <row r="112" spans="8:8" x14ac:dyDescent="0.25">
      <c r="H112" s="30">
        <v>1</v>
      </c>
    </row>
    <row r="113" spans="8:8" x14ac:dyDescent="0.25">
      <c r="H113" s="30">
        <v>1</v>
      </c>
    </row>
    <row r="114" spans="8:8" x14ac:dyDescent="0.25">
      <c r="H114" s="30">
        <v>1</v>
      </c>
    </row>
    <row r="115" spans="8:8" x14ac:dyDescent="0.25">
      <c r="H115" s="30">
        <v>1</v>
      </c>
    </row>
    <row r="116" spans="8:8" x14ac:dyDescent="0.25">
      <c r="H116" s="30">
        <v>1</v>
      </c>
    </row>
    <row r="117" spans="8:8" x14ac:dyDescent="0.25">
      <c r="H117" s="30">
        <v>1</v>
      </c>
    </row>
    <row r="118" spans="8:8" x14ac:dyDescent="0.25">
      <c r="H118" s="30">
        <v>1</v>
      </c>
    </row>
    <row r="119" spans="8:8" x14ac:dyDescent="0.25">
      <c r="H119" s="30">
        <v>1</v>
      </c>
    </row>
    <row r="120" spans="8:8" x14ac:dyDescent="0.25">
      <c r="H120" s="30">
        <v>1</v>
      </c>
    </row>
    <row r="121" spans="8:8" x14ac:dyDescent="0.25">
      <c r="H121" s="30">
        <v>1</v>
      </c>
    </row>
    <row r="122" spans="8:8" x14ac:dyDescent="0.25">
      <c r="H122" s="30">
        <v>1</v>
      </c>
    </row>
    <row r="123" spans="8:8" x14ac:dyDescent="0.25">
      <c r="H123" s="30">
        <v>1</v>
      </c>
    </row>
    <row r="124" spans="8:8" x14ac:dyDescent="0.25">
      <c r="H124" s="30">
        <v>1</v>
      </c>
    </row>
    <row r="125" spans="8:8" x14ac:dyDescent="0.25">
      <c r="H125" s="30">
        <v>1</v>
      </c>
    </row>
    <row r="126" spans="8:8" x14ac:dyDescent="0.25">
      <c r="H126" s="30">
        <v>1</v>
      </c>
    </row>
    <row r="127" spans="8:8" x14ac:dyDescent="0.25">
      <c r="H127" s="30">
        <v>1</v>
      </c>
    </row>
    <row r="128" spans="8:8" x14ac:dyDescent="0.25">
      <c r="H128" s="30">
        <v>1</v>
      </c>
    </row>
    <row r="129" spans="8:8" x14ac:dyDescent="0.25">
      <c r="H129" s="30">
        <v>1</v>
      </c>
    </row>
    <row r="130" spans="8:8" x14ac:dyDescent="0.25">
      <c r="H130" s="30">
        <v>1</v>
      </c>
    </row>
    <row r="131" spans="8:8" x14ac:dyDescent="0.25">
      <c r="H131" s="30">
        <v>1</v>
      </c>
    </row>
    <row r="132" spans="8:8" x14ac:dyDescent="0.25">
      <c r="H132" s="30">
        <v>1</v>
      </c>
    </row>
    <row r="133" spans="8:8" x14ac:dyDescent="0.25">
      <c r="H133" s="30">
        <v>1</v>
      </c>
    </row>
    <row r="134" spans="8:8" x14ac:dyDescent="0.25">
      <c r="H134" s="30">
        <v>1</v>
      </c>
    </row>
    <row r="135" spans="8:8" x14ac:dyDescent="0.25">
      <c r="H135" s="30">
        <v>1</v>
      </c>
    </row>
    <row r="136" spans="8:8" x14ac:dyDescent="0.25">
      <c r="H136" s="30">
        <v>1</v>
      </c>
    </row>
    <row r="137" spans="8:8" x14ac:dyDescent="0.25">
      <c r="H137" s="30">
        <v>1</v>
      </c>
    </row>
    <row r="138" spans="8:8" x14ac:dyDescent="0.25">
      <c r="H138" s="30">
        <v>1</v>
      </c>
    </row>
    <row r="139" spans="8:8" x14ac:dyDescent="0.25">
      <c r="H139" s="30">
        <v>-1</v>
      </c>
    </row>
    <row r="140" spans="8:8" x14ac:dyDescent="0.25">
      <c r="H140" s="30">
        <v>-1</v>
      </c>
    </row>
    <row r="141" spans="8:8" x14ac:dyDescent="0.25">
      <c r="H141" s="30">
        <v>-1</v>
      </c>
    </row>
    <row r="142" spans="8:8" x14ac:dyDescent="0.25">
      <c r="H142" s="30">
        <v>-1</v>
      </c>
    </row>
    <row r="143" spans="8:8" x14ac:dyDescent="0.25">
      <c r="H143" s="30">
        <v>-1</v>
      </c>
    </row>
  </sheetData>
  <autoFilter ref="A4:D47" xr:uid="{00000000-0009-0000-0000-000004000000}"/>
  <mergeCells count="4">
    <mergeCell ref="L11:N11"/>
    <mergeCell ref="H3:I3"/>
    <mergeCell ref="L3:N3"/>
    <mergeCell ref="A1:K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O190"/>
  <sheetViews>
    <sheetView zoomScale="70" zoomScaleNormal="70" workbookViewId="0">
      <selection sqref="A1:K1"/>
    </sheetView>
  </sheetViews>
  <sheetFormatPr defaultRowHeight="15" x14ac:dyDescent="0.25"/>
  <cols>
    <col min="2" max="2" width="27.42578125" customWidth="1"/>
    <col min="4" max="4" width="19.28515625" customWidth="1"/>
    <col min="5" max="5" width="2" bestFit="1" customWidth="1"/>
    <col min="6" max="6" width="4.7109375" bestFit="1" customWidth="1"/>
    <col min="7" max="7" width="2.5703125" style="82" customWidth="1"/>
    <col min="8" max="8" width="14.140625" style="30" customWidth="1"/>
    <col min="9" max="9" width="12.85546875" style="30" customWidth="1"/>
    <col min="10" max="10" width="2.85546875" style="83" customWidth="1"/>
    <col min="11" max="11" width="14.28515625" style="34" bestFit="1" customWidth="1"/>
    <col min="12" max="12" width="15" style="30" customWidth="1"/>
    <col min="13" max="13" width="12" style="30" customWidth="1"/>
    <col min="14" max="14" width="15.42578125" style="30" bestFit="1" customWidth="1"/>
    <col min="15" max="15" width="4" customWidth="1"/>
  </cols>
  <sheetData>
    <row r="1" spans="1:15" s="94" customFormat="1" ht="51" customHeight="1" thickBot="1" x14ac:dyDescent="0.3">
      <c r="A1" s="98" t="s">
        <v>75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5"/>
      <c r="M1" s="95"/>
      <c r="N1" s="95"/>
    </row>
    <row r="2" spans="1:15" x14ac:dyDescent="0.25">
      <c r="B2" s="2" t="s">
        <v>46</v>
      </c>
      <c r="C2" s="92">
        <v>540</v>
      </c>
      <c r="D2" s="93" t="s">
        <v>49</v>
      </c>
      <c r="E2" s="2">
        <v>3</v>
      </c>
      <c r="F2" s="93" t="s">
        <v>48</v>
      </c>
    </row>
    <row r="3" spans="1:15" ht="18.75" x14ac:dyDescent="0.3">
      <c r="H3" s="97" t="s">
        <v>56</v>
      </c>
      <c r="I3" s="97"/>
      <c r="J3" s="84"/>
      <c r="L3" s="97" t="s">
        <v>59</v>
      </c>
      <c r="M3" s="97"/>
      <c r="N3" s="97"/>
      <c r="O3" s="22"/>
    </row>
    <row r="4" spans="1:15" x14ac:dyDescent="0.25">
      <c r="B4" s="7"/>
      <c r="C4" s="7" t="s">
        <v>45</v>
      </c>
      <c r="D4" s="3" t="s">
        <v>47</v>
      </c>
      <c r="H4" s="21" t="s">
        <v>50</v>
      </c>
      <c r="I4" s="24" t="s">
        <v>51</v>
      </c>
      <c r="J4" s="42"/>
      <c r="K4" s="44"/>
      <c r="L4" s="32" t="s">
        <v>58</v>
      </c>
      <c r="M4" s="32" t="s">
        <v>57</v>
      </c>
      <c r="N4" s="32" t="s">
        <v>60</v>
      </c>
      <c r="O4" s="29"/>
    </row>
    <row r="5" spans="1:15" x14ac:dyDescent="0.25">
      <c r="A5">
        <v>1</v>
      </c>
      <c r="B5" s="1" t="s">
        <v>1</v>
      </c>
      <c r="C5" s="8">
        <v>9</v>
      </c>
      <c r="D5" s="8">
        <v>17</v>
      </c>
      <c r="G5" s="82" t="str">
        <f t="shared" ref="G5:G33" si="0">IF(H5="","",IFERROR(VLOOKUP(H5-1,A:C,3,FALSE),0))</f>
        <v/>
      </c>
      <c r="J5" s="83" t="str">
        <f>IF(I5="","",IFERROR(VLOOKUP(I5-1,A:C,3,FALSE),0))</f>
        <v/>
      </c>
      <c r="K5" s="43"/>
      <c r="L5" s="35"/>
      <c r="M5" s="36"/>
      <c r="N5" s="26" t="str">
        <f>IF(L5="","",L5-M5)</f>
        <v/>
      </c>
      <c r="O5" s="28"/>
    </row>
    <row r="6" spans="1:15" x14ac:dyDescent="0.25">
      <c r="A6">
        <v>2</v>
      </c>
      <c r="B6" s="1" t="s">
        <v>2</v>
      </c>
      <c r="C6" s="1">
        <v>3</v>
      </c>
      <c r="D6" s="9">
        <v>66</v>
      </c>
      <c r="G6" s="82" t="str">
        <f t="shared" si="0"/>
        <v/>
      </c>
      <c r="J6" s="83" t="str">
        <f t="shared" ref="J6:J38" si="1">IF(I6="","",IFERROR(VLOOKUP(I6-1,A:C,3,FALSE),0))</f>
        <v/>
      </c>
      <c r="K6" s="43"/>
      <c r="L6" s="35"/>
      <c r="M6" s="36"/>
      <c r="N6" s="26" t="str">
        <f t="shared" ref="N6:N9" si="2">IF(L6="","",L6-M6)</f>
        <v/>
      </c>
      <c r="O6" s="28"/>
    </row>
    <row r="7" spans="1:15" x14ac:dyDescent="0.25">
      <c r="A7">
        <v>3</v>
      </c>
      <c r="B7" s="1" t="s">
        <v>3</v>
      </c>
      <c r="C7" s="1">
        <v>6</v>
      </c>
      <c r="D7" s="9">
        <v>116</v>
      </c>
      <c r="G7" s="82" t="str">
        <f t="shared" si="0"/>
        <v/>
      </c>
      <c r="J7" s="83" t="str">
        <f t="shared" si="1"/>
        <v/>
      </c>
      <c r="K7" s="44"/>
      <c r="L7" s="35"/>
      <c r="M7" s="36"/>
      <c r="N7" s="26" t="str">
        <f t="shared" si="2"/>
        <v/>
      </c>
      <c r="O7" s="28"/>
    </row>
    <row r="8" spans="1:15" x14ac:dyDescent="0.25">
      <c r="A8">
        <v>4</v>
      </c>
      <c r="B8" s="1" t="s">
        <v>4</v>
      </c>
      <c r="C8" s="1">
        <v>5</v>
      </c>
      <c r="D8" s="9">
        <v>69</v>
      </c>
      <c r="G8" s="82" t="str">
        <f t="shared" si="0"/>
        <v/>
      </c>
      <c r="J8" s="83" t="str">
        <f t="shared" si="1"/>
        <v/>
      </c>
      <c r="K8" s="43"/>
      <c r="L8" s="35"/>
      <c r="M8" s="35"/>
      <c r="N8" s="26" t="str">
        <f t="shared" si="2"/>
        <v/>
      </c>
      <c r="O8" s="28"/>
    </row>
    <row r="9" spans="1:15" x14ac:dyDescent="0.25">
      <c r="A9">
        <v>5</v>
      </c>
      <c r="B9" s="1" t="s">
        <v>5</v>
      </c>
      <c r="C9" s="1">
        <v>3</v>
      </c>
      <c r="D9" s="9">
        <v>84</v>
      </c>
      <c r="G9" s="82" t="str">
        <f t="shared" si="0"/>
        <v/>
      </c>
      <c r="J9" s="83" t="str">
        <f t="shared" si="1"/>
        <v/>
      </c>
      <c r="K9" s="43"/>
      <c r="L9" s="35"/>
      <c r="M9" s="35"/>
      <c r="N9" s="26" t="str">
        <f t="shared" si="2"/>
        <v/>
      </c>
      <c r="O9" s="28"/>
    </row>
    <row r="10" spans="1:15" x14ac:dyDescent="0.25">
      <c r="A10">
        <v>6</v>
      </c>
      <c r="B10" s="1" t="s">
        <v>6</v>
      </c>
      <c r="C10" s="1">
        <v>1</v>
      </c>
      <c r="D10" s="9">
        <v>16</v>
      </c>
      <c r="G10" s="82" t="str">
        <f t="shared" si="0"/>
        <v/>
      </c>
      <c r="J10" s="83" t="str">
        <f t="shared" si="1"/>
        <v/>
      </c>
      <c r="K10" s="79" t="s">
        <v>74</v>
      </c>
      <c r="L10" s="37">
        <v>0.10639645345155162</v>
      </c>
      <c r="M10" s="37">
        <v>0.10861182519280206</v>
      </c>
      <c r="N10" s="38"/>
    </row>
    <row r="11" spans="1:15" ht="15.75" x14ac:dyDescent="0.25">
      <c r="A11">
        <v>7</v>
      </c>
      <c r="B11" s="1" t="s">
        <v>7</v>
      </c>
      <c r="C11" s="1">
        <v>7</v>
      </c>
      <c r="D11" s="9">
        <v>99</v>
      </c>
      <c r="G11" s="82" t="str">
        <f t="shared" si="0"/>
        <v/>
      </c>
      <c r="J11" s="83" t="str">
        <f t="shared" si="1"/>
        <v/>
      </c>
      <c r="L11" s="96" t="s">
        <v>70</v>
      </c>
      <c r="M11" s="96"/>
      <c r="N11" s="96"/>
    </row>
    <row r="12" spans="1:15" x14ac:dyDescent="0.25">
      <c r="A12">
        <v>8</v>
      </c>
      <c r="B12" s="1" t="s">
        <v>8</v>
      </c>
      <c r="C12" s="1">
        <v>3</v>
      </c>
      <c r="D12" s="9">
        <v>26</v>
      </c>
      <c r="G12" s="82" t="str">
        <f t="shared" si="0"/>
        <v/>
      </c>
      <c r="J12" s="83" t="str">
        <f t="shared" si="1"/>
        <v/>
      </c>
      <c r="K12" s="43" t="str">
        <f>IF(I12="","","interest score")</f>
        <v/>
      </c>
      <c r="L12" s="81" t="s">
        <v>58</v>
      </c>
      <c r="M12" s="81" t="s">
        <v>68</v>
      </c>
      <c r="N12" s="80" t="str">
        <f>IFERROR(IF(K12="Interest",IF(#REF!-#REF! = 0,"",#REF!-#REF!),-IF(#REF!-#REF! = 0,"",#REF!-#REF!)),"")</f>
        <v/>
      </c>
    </row>
    <row r="13" spans="1:15" x14ac:dyDescent="0.25">
      <c r="A13">
        <v>9</v>
      </c>
      <c r="B13" s="1" t="s">
        <v>9</v>
      </c>
      <c r="C13" s="1">
        <v>1</v>
      </c>
      <c r="D13" s="9">
        <v>111</v>
      </c>
      <c r="G13" s="82" t="str">
        <f t="shared" si="0"/>
        <v/>
      </c>
      <c r="J13" s="83" t="str">
        <f t="shared" si="1"/>
        <v/>
      </c>
      <c r="K13" s="79" t="str">
        <f>IF(H5="","",0)</f>
        <v/>
      </c>
      <c r="L13" s="89" t="str">
        <f>IF(K13="","",COUNTIF(G:G,K13))</f>
        <v/>
      </c>
      <c r="M13" s="89" t="str">
        <f>IF(K13="","",COUNTIF(J:J,K13))</f>
        <v/>
      </c>
      <c r="N13" s="89" t="str">
        <f t="shared" ref="N13:N23" si="3">IF(K13="","",COUNTIF(C:C,K13))</f>
        <v/>
      </c>
    </row>
    <row r="14" spans="1:15" x14ac:dyDescent="0.25">
      <c r="A14">
        <v>10</v>
      </c>
      <c r="B14" s="1" t="s">
        <v>10</v>
      </c>
      <c r="C14" s="1">
        <v>0</v>
      </c>
      <c r="D14" s="9">
        <v>76</v>
      </c>
      <c r="G14" s="82" t="str">
        <f t="shared" si="0"/>
        <v/>
      </c>
      <c r="J14" s="83" t="str">
        <f t="shared" si="1"/>
        <v/>
      </c>
      <c r="K14" s="79" t="str">
        <f t="shared" ref="K14:K23" si="4">IF(H6="","",K13+1)</f>
        <v/>
      </c>
      <c r="L14" s="89" t="str">
        <f t="shared" ref="L14:L23" si="5">IF(K14="","",COUNTIF(G:G,K14))</f>
        <v/>
      </c>
      <c r="M14" s="89" t="str">
        <f t="shared" ref="M14:M22" si="6">IF(K15="","",COUNTIF(J:J,K14))</f>
        <v/>
      </c>
      <c r="N14" s="89" t="str">
        <f t="shared" si="3"/>
        <v/>
      </c>
    </row>
    <row r="15" spans="1:15" x14ac:dyDescent="0.25">
      <c r="A15">
        <v>11</v>
      </c>
      <c r="B15" s="1" t="s">
        <v>11</v>
      </c>
      <c r="C15" s="1">
        <v>10</v>
      </c>
      <c r="D15" s="9">
        <v>100</v>
      </c>
      <c r="G15" s="82" t="str">
        <f t="shared" si="0"/>
        <v/>
      </c>
      <c r="J15" s="83" t="str">
        <f t="shared" si="1"/>
        <v/>
      </c>
      <c r="K15" s="79" t="str">
        <f t="shared" si="4"/>
        <v/>
      </c>
      <c r="L15" s="89" t="str">
        <f t="shared" si="5"/>
        <v/>
      </c>
      <c r="M15" s="89" t="str">
        <f t="shared" si="6"/>
        <v/>
      </c>
      <c r="N15" s="89" t="str">
        <f t="shared" si="3"/>
        <v/>
      </c>
    </row>
    <row r="16" spans="1:15" x14ac:dyDescent="0.25">
      <c r="A16">
        <v>12</v>
      </c>
      <c r="B16" s="1" t="s">
        <v>12</v>
      </c>
      <c r="C16" s="1">
        <v>3</v>
      </c>
      <c r="D16" s="9">
        <v>118</v>
      </c>
      <c r="G16" s="82" t="str">
        <f t="shared" si="0"/>
        <v/>
      </c>
      <c r="J16" s="83" t="str">
        <f t="shared" si="1"/>
        <v/>
      </c>
      <c r="K16" s="79" t="str">
        <f t="shared" si="4"/>
        <v/>
      </c>
      <c r="L16" s="89" t="str">
        <f t="shared" si="5"/>
        <v/>
      </c>
      <c r="M16" s="89" t="str">
        <f t="shared" si="6"/>
        <v/>
      </c>
      <c r="N16" s="89" t="str">
        <f t="shared" si="3"/>
        <v/>
      </c>
    </row>
    <row r="17" spans="1:14" x14ac:dyDescent="0.25">
      <c r="A17">
        <v>13</v>
      </c>
      <c r="B17" s="1" t="s">
        <v>13</v>
      </c>
      <c r="C17" s="1">
        <v>4</v>
      </c>
      <c r="D17" s="9">
        <v>100</v>
      </c>
      <c r="G17" s="82" t="str">
        <f t="shared" si="0"/>
        <v/>
      </c>
      <c r="J17" s="83" t="str">
        <f t="shared" si="1"/>
        <v/>
      </c>
      <c r="K17" s="79" t="str">
        <f t="shared" si="4"/>
        <v/>
      </c>
      <c r="L17" s="89" t="str">
        <f t="shared" si="5"/>
        <v/>
      </c>
      <c r="M17" s="89" t="str">
        <f t="shared" si="6"/>
        <v/>
      </c>
      <c r="N17" s="89" t="str">
        <f t="shared" si="3"/>
        <v/>
      </c>
    </row>
    <row r="18" spans="1:14" ht="21" x14ac:dyDescent="0.25">
      <c r="A18">
        <v>14</v>
      </c>
      <c r="B18" s="1" t="s">
        <v>14</v>
      </c>
      <c r="C18" s="1">
        <v>2</v>
      </c>
      <c r="D18" s="9">
        <v>111</v>
      </c>
      <c r="G18" s="82" t="str">
        <f t="shared" si="0"/>
        <v/>
      </c>
      <c r="J18" s="83" t="str">
        <f t="shared" si="1"/>
        <v/>
      </c>
      <c r="K18" s="91" t="str">
        <f t="shared" si="4"/>
        <v/>
      </c>
      <c r="L18" s="89" t="str">
        <f t="shared" si="5"/>
        <v/>
      </c>
      <c r="M18" s="89" t="str">
        <f t="shared" si="6"/>
        <v/>
      </c>
      <c r="N18" s="89" t="str">
        <f t="shared" si="3"/>
        <v/>
      </c>
    </row>
    <row r="19" spans="1:14" x14ac:dyDescent="0.25">
      <c r="A19">
        <v>15</v>
      </c>
      <c r="B19" s="1" t="s">
        <v>15</v>
      </c>
      <c r="C19" s="1">
        <v>6</v>
      </c>
      <c r="D19" s="9">
        <v>56</v>
      </c>
      <c r="G19" s="82" t="str">
        <f t="shared" si="0"/>
        <v/>
      </c>
      <c r="J19" s="83" t="str">
        <f t="shared" si="1"/>
        <v/>
      </c>
      <c r="K19" s="79" t="str">
        <f t="shared" si="4"/>
        <v/>
      </c>
      <c r="L19" s="89" t="str">
        <f t="shared" si="5"/>
        <v/>
      </c>
      <c r="M19" s="89" t="str">
        <f t="shared" si="6"/>
        <v/>
      </c>
      <c r="N19" s="89" t="str">
        <f t="shared" si="3"/>
        <v/>
      </c>
    </row>
    <row r="20" spans="1:14" x14ac:dyDescent="0.25">
      <c r="A20">
        <v>16</v>
      </c>
      <c r="B20" s="1" t="s">
        <v>16</v>
      </c>
      <c r="C20" s="1">
        <v>2</v>
      </c>
      <c r="D20" s="9">
        <v>29</v>
      </c>
      <c r="G20" s="82" t="str">
        <f t="shared" si="0"/>
        <v/>
      </c>
      <c r="J20" s="83" t="str">
        <f t="shared" si="1"/>
        <v/>
      </c>
      <c r="K20" s="79" t="str">
        <f t="shared" si="4"/>
        <v/>
      </c>
      <c r="L20" s="89" t="str">
        <f t="shared" si="5"/>
        <v/>
      </c>
      <c r="M20" s="89" t="str">
        <f t="shared" si="6"/>
        <v/>
      </c>
      <c r="N20" s="89" t="str">
        <f t="shared" si="3"/>
        <v/>
      </c>
    </row>
    <row r="21" spans="1:14" x14ac:dyDescent="0.25">
      <c r="A21">
        <v>17</v>
      </c>
      <c r="B21" s="1" t="s">
        <v>17</v>
      </c>
      <c r="C21" s="1">
        <v>9</v>
      </c>
      <c r="D21" s="9">
        <v>55</v>
      </c>
      <c r="G21" s="82" t="str">
        <f t="shared" si="0"/>
        <v/>
      </c>
      <c r="J21" s="83" t="str">
        <f t="shared" si="1"/>
        <v/>
      </c>
      <c r="K21" s="79" t="str">
        <f t="shared" si="4"/>
        <v/>
      </c>
      <c r="L21" s="89" t="str">
        <f t="shared" si="5"/>
        <v/>
      </c>
      <c r="M21" s="89" t="str">
        <f t="shared" si="6"/>
        <v/>
      </c>
      <c r="N21" s="89" t="str">
        <f t="shared" si="3"/>
        <v/>
      </c>
    </row>
    <row r="22" spans="1:14" x14ac:dyDescent="0.25">
      <c r="A22">
        <v>18</v>
      </c>
      <c r="B22" s="1" t="s">
        <v>18</v>
      </c>
      <c r="C22" s="1">
        <v>2</v>
      </c>
      <c r="D22" s="9">
        <v>111</v>
      </c>
      <c r="G22" s="82" t="str">
        <f t="shared" si="0"/>
        <v/>
      </c>
      <c r="J22" s="83" t="str">
        <f t="shared" si="1"/>
        <v/>
      </c>
      <c r="K22" s="79" t="str">
        <f t="shared" si="4"/>
        <v/>
      </c>
      <c r="L22" s="89" t="str">
        <f t="shared" si="5"/>
        <v/>
      </c>
      <c r="M22" s="89" t="str">
        <f t="shared" si="6"/>
        <v/>
      </c>
      <c r="N22" s="89" t="str">
        <f t="shared" si="3"/>
        <v/>
      </c>
    </row>
    <row r="23" spans="1:14" x14ac:dyDescent="0.25">
      <c r="A23">
        <v>19</v>
      </c>
      <c r="B23" s="1" t="s">
        <v>19</v>
      </c>
      <c r="C23" s="1">
        <v>0</v>
      </c>
      <c r="D23" s="9">
        <v>25</v>
      </c>
      <c r="G23" s="82" t="str">
        <f t="shared" si="0"/>
        <v/>
      </c>
      <c r="J23" s="83" t="str">
        <f t="shared" si="1"/>
        <v/>
      </c>
      <c r="K23" s="79" t="str">
        <f t="shared" si="4"/>
        <v/>
      </c>
      <c r="L23" s="89" t="str">
        <f t="shared" si="5"/>
        <v/>
      </c>
      <c r="M23" s="89" t="str">
        <f>IF(K23="","",COUNTIF(J:J,K23))</f>
        <v/>
      </c>
      <c r="N23" s="89" t="str">
        <f t="shared" si="3"/>
        <v/>
      </c>
    </row>
    <row r="24" spans="1:14" x14ac:dyDescent="0.25">
      <c r="A24">
        <v>20</v>
      </c>
      <c r="B24" s="1" t="s">
        <v>20</v>
      </c>
      <c r="C24" s="1">
        <v>10</v>
      </c>
      <c r="D24" s="9">
        <v>77</v>
      </c>
      <c r="G24" s="82" t="str">
        <f t="shared" si="0"/>
        <v/>
      </c>
      <c r="J24" s="83" t="str">
        <f t="shared" si="1"/>
        <v/>
      </c>
      <c r="L24" s="89"/>
      <c r="M24" s="89"/>
      <c r="N24" s="89"/>
    </row>
    <row r="25" spans="1:14" x14ac:dyDescent="0.25">
      <c r="A25">
        <v>21</v>
      </c>
      <c r="B25" s="1" t="s">
        <v>21</v>
      </c>
      <c r="C25" s="1">
        <v>9</v>
      </c>
      <c r="D25" s="9">
        <v>17</v>
      </c>
      <c r="G25" s="82" t="str">
        <f t="shared" si="0"/>
        <v/>
      </c>
      <c r="J25" s="83" t="str">
        <f t="shared" si="1"/>
        <v/>
      </c>
      <c r="L25" s="89"/>
      <c r="M25" s="89"/>
      <c r="N25" s="89"/>
    </row>
    <row r="26" spans="1:14" x14ac:dyDescent="0.25">
      <c r="A26">
        <v>22</v>
      </c>
      <c r="B26" s="1" t="s">
        <v>22</v>
      </c>
      <c r="C26" s="1">
        <v>8</v>
      </c>
      <c r="D26" s="9">
        <v>45</v>
      </c>
      <c r="G26" s="82" t="str">
        <f t="shared" si="0"/>
        <v/>
      </c>
      <c r="J26" s="83" t="str">
        <f t="shared" si="1"/>
        <v/>
      </c>
      <c r="L26" s="89"/>
      <c r="M26" s="89"/>
      <c r="N26" s="89"/>
    </row>
    <row r="27" spans="1:14" x14ac:dyDescent="0.25">
      <c r="A27">
        <v>23</v>
      </c>
      <c r="B27" s="1" t="s">
        <v>23</v>
      </c>
      <c r="C27" s="1">
        <v>1</v>
      </c>
      <c r="D27" s="9">
        <v>31</v>
      </c>
      <c r="G27" s="82" t="str">
        <f t="shared" si="0"/>
        <v/>
      </c>
      <c r="J27" s="83" t="str">
        <f t="shared" si="1"/>
        <v/>
      </c>
      <c r="L27" s="89"/>
      <c r="M27" s="89"/>
      <c r="N27" s="89"/>
    </row>
    <row r="28" spans="1:14" x14ac:dyDescent="0.25">
      <c r="A28">
        <v>24</v>
      </c>
      <c r="B28" s="1" t="s">
        <v>24</v>
      </c>
      <c r="C28" s="1">
        <v>6</v>
      </c>
      <c r="D28" s="9">
        <v>103</v>
      </c>
      <c r="G28" s="82" t="str">
        <f t="shared" si="0"/>
        <v/>
      </c>
      <c r="J28" s="83" t="str">
        <f t="shared" si="1"/>
        <v/>
      </c>
      <c r="L28" s="89"/>
      <c r="M28" s="89"/>
      <c r="N28" s="89"/>
    </row>
    <row r="29" spans="1:14" x14ac:dyDescent="0.25">
      <c r="A29">
        <v>25</v>
      </c>
      <c r="B29" s="1" t="s">
        <v>25</v>
      </c>
      <c r="C29" s="1">
        <v>3</v>
      </c>
      <c r="D29" s="9">
        <v>108</v>
      </c>
      <c r="G29" s="82" t="str">
        <f t="shared" si="0"/>
        <v/>
      </c>
      <c r="J29" s="83" t="str">
        <f t="shared" si="1"/>
        <v/>
      </c>
      <c r="L29" s="89"/>
      <c r="M29" s="89"/>
      <c r="N29" s="89"/>
    </row>
    <row r="30" spans="1:14" x14ac:dyDescent="0.25">
      <c r="A30">
        <v>26</v>
      </c>
      <c r="B30" s="1" t="s">
        <v>26</v>
      </c>
      <c r="C30" s="1">
        <v>2</v>
      </c>
      <c r="D30" s="9">
        <v>56</v>
      </c>
      <c r="G30" s="82" t="str">
        <f t="shared" si="0"/>
        <v/>
      </c>
      <c r="J30" s="83" t="str">
        <f t="shared" si="1"/>
        <v/>
      </c>
      <c r="L30" s="89"/>
      <c r="M30" s="89"/>
      <c r="N30" s="89"/>
    </row>
    <row r="31" spans="1:14" x14ac:dyDescent="0.25">
      <c r="A31">
        <v>27</v>
      </c>
      <c r="B31" s="1" t="s">
        <v>27</v>
      </c>
      <c r="C31" s="1">
        <v>2</v>
      </c>
      <c r="D31" s="9">
        <v>99</v>
      </c>
      <c r="G31" s="82" t="str">
        <f t="shared" si="0"/>
        <v/>
      </c>
      <c r="J31" s="83" t="str">
        <f t="shared" si="1"/>
        <v/>
      </c>
      <c r="L31" s="89"/>
      <c r="M31" s="89"/>
      <c r="N31" s="89"/>
    </row>
    <row r="32" spans="1:14" x14ac:dyDescent="0.25">
      <c r="A32">
        <v>28</v>
      </c>
      <c r="B32" s="1" t="s">
        <v>28</v>
      </c>
      <c r="C32" s="1">
        <v>7</v>
      </c>
      <c r="D32" s="9">
        <v>117</v>
      </c>
      <c r="G32" s="82" t="str">
        <f t="shared" si="0"/>
        <v/>
      </c>
      <c r="J32" s="83" t="str">
        <f t="shared" si="1"/>
        <v/>
      </c>
      <c r="L32" s="89"/>
      <c r="M32" s="89"/>
      <c r="N32" s="89"/>
    </row>
    <row r="33" spans="1:14" x14ac:dyDescent="0.25">
      <c r="A33">
        <v>29</v>
      </c>
      <c r="B33" s="1" t="s">
        <v>29</v>
      </c>
      <c r="C33" s="1">
        <v>7</v>
      </c>
      <c r="D33" s="9">
        <v>43</v>
      </c>
      <c r="G33" s="82" t="str">
        <f t="shared" si="0"/>
        <v/>
      </c>
      <c r="J33" s="83" t="str">
        <f t="shared" si="1"/>
        <v/>
      </c>
      <c r="L33" s="89"/>
      <c r="M33" s="89"/>
      <c r="N33" s="89"/>
    </row>
    <row r="34" spans="1:14" x14ac:dyDescent="0.25">
      <c r="A34">
        <v>30</v>
      </c>
      <c r="B34" s="1" t="s">
        <v>30</v>
      </c>
      <c r="C34" s="1">
        <v>1</v>
      </c>
      <c r="D34" s="9">
        <v>40</v>
      </c>
      <c r="G34" s="82" t="str">
        <f t="shared" ref="G34:G38" si="7">IF(H34="","",IFERROR(VLOOKUP(I34-1,A:C,3,FALSE),0))</f>
        <v/>
      </c>
      <c r="J34" s="83" t="str">
        <f t="shared" si="1"/>
        <v/>
      </c>
      <c r="L34" s="89"/>
      <c r="M34" s="89"/>
      <c r="N34" s="89"/>
    </row>
    <row r="35" spans="1:14" x14ac:dyDescent="0.25">
      <c r="A35">
        <v>31</v>
      </c>
      <c r="B35" s="1" t="s">
        <v>31</v>
      </c>
      <c r="C35" s="1">
        <v>1</v>
      </c>
      <c r="D35" s="9">
        <v>12</v>
      </c>
      <c r="G35" s="82" t="str">
        <f t="shared" si="7"/>
        <v/>
      </c>
      <c r="J35" s="83" t="str">
        <f t="shared" si="1"/>
        <v/>
      </c>
      <c r="L35" s="89"/>
      <c r="M35" s="89"/>
      <c r="N35" s="89"/>
    </row>
    <row r="36" spans="1:14" x14ac:dyDescent="0.25">
      <c r="A36">
        <v>32</v>
      </c>
      <c r="B36" s="1" t="s">
        <v>32</v>
      </c>
      <c r="C36" s="1">
        <v>9</v>
      </c>
      <c r="D36" s="9">
        <v>22</v>
      </c>
      <c r="G36" s="82" t="str">
        <f t="shared" si="7"/>
        <v/>
      </c>
      <c r="J36" s="83" t="str">
        <f t="shared" si="1"/>
        <v/>
      </c>
      <c r="L36" s="89"/>
      <c r="M36" s="89"/>
      <c r="N36" s="89"/>
    </row>
    <row r="37" spans="1:14" x14ac:dyDescent="0.25">
      <c r="A37">
        <v>33</v>
      </c>
      <c r="B37" s="1" t="s">
        <v>33</v>
      </c>
      <c r="C37" s="1">
        <v>9</v>
      </c>
      <c r="D37" s="9">
        <v>99</v>
      </c>
      <c r="G37" s="82" t="str">
        <f t="shared" si="7"/>
        <v/>
      </c>
      <c r="J37" s="83" t="str">
        <f t="shared" si="1"/>
        <v/>
      </c>
      <c r="L37" s="89"/>
      <c r="M37" s="89"/>
      <c r="N37" s="89"/>
    </row>
    <row r="38" spans="1:14" x14ac:dyDescent="0.25">
      <c r="A38">
        <v>34</v>
      </c>
      <c r="B38" s="1" t="s">
        <v>34</v>
      </c>
      <c r="C38" s="1">
        <v>4</v>
      </c>
      <c r="D38" s="9">
        <v>115</v>
      </c>
      <c r="G38" s="82" t="str">
        <f t="shared" si="7"/>
        <v/>
      </c>
      <c r="J38" s="83" t="str">
        <f t="shared" si="1"/>
        <v/>
      </c>
      <c r="L38" s="89"/>
      <c r="M38" s="89"/>
      <c r="N38" s="89"/>
    </row>
    <row r="39" spans="1:14" x14ac:dyDescent="0.25">
      <c r="A39">
        <v>35</v>
      </c>
      <c r="B39" s="1" t="s">
        <v>35</v>
      </c>
      <c r="C39" s="1">
        <v>9</v>
      </c>
      <c r="D39" s="9">
        <v>30</v>
      </c>
      <c r="J39" s="83" t="str">
        <f t="shared" ref="J39:J41" si="8">IF(I39="","",IFERROR(VLOOKUP(I39-1,A:C,3,FALSE),0))</f>
        <v/>
      </c>
      <c r="L39" s="89"/>
      <c r="M39" s="89"/>
      <c r="N39" s="89"/>
    </row>
    <row r="40" spans="1:14" x14ac:dyDescent="0.25">
      <c r="A40">
        <v>36</v>
      </c>
      <c r="B40" s="1" t="s">
        <v>36</v>
      </c>
      <c r="C40" s="1">
        <v>7</v>
      </c>
      <c r="D40" s="9">
        <v>96</v>
      </c>
      <c r="J40" s="83" t="str">
        <f t="shared" si="8"/>
        <v/>
      </c>
      <c r="L40" s="89"/>
      <c r="M40" s="89"/>
      <c r="N40" s="89"/>
    </row>
    <row r="41" spans="1:14" x14ac:dyDescent="0.25">
      <c r="A41">
        <v>37</v>
      </c>
      <c r="B41" s="1" t="s">
        <v>37</v>
      </c>
      <c r="C41" s="1">
        <v>2</v>
      </c>
      <c r="D41" s="9">
        <v>67</v>
      </c>
      <c r="J41" s="83" t="str">
        <f t="shared" si="8"/>
        <v/>
      </c>
    </row>
    <row r="42" spans="1:14" x14ac:dyDescent="0.25">
      <c r="A42">
        <v>38</v>
      </c>
      <c r="B42" s="1" t="s">
        <v>38</v>
      </c>
      <c r="C42" s="1">
        <v>7</v>
      </c>
      <c r="D42" s="9">
        <v>56</v>
      </c>
    </row>
    <row r="43" spans="1:14" x14ac:dyDescent="0.25">
      <c r="A43">
        <v>39</v>
      </c>
      <c r="B43" s="1" t="s">
        <v>39</v>
      </c>
      <c r="C43" s="1">
        <v>8</v>
      </c>
      <c r="D43" s="9">
        <v>19</v>
      </c>
    </row>
    <row r="44" spans="1:14" x14ac:dyDescent="0.25">
      <c r="A44">
        <v>40</v>
      </c>
      <c r="B44" s="1" t="s">
        <v>40</v>
      </c>
      <c r="C44" s="1">
        <v>8</v>
      </c>
      <c r="D44" s="9">
        <v>53</v>
      </c>
    </row>
    <row r="45" spans="1:14" x14ac:dyDescent="0.25">
      <c r="A45">
        <v>41</v>
      </c>
      <c r="B45" s="1" t="s">
        <v>41</v>
      </c>
      <c r="C45" s="1">
        <v>5</v>
      </c>
      <c r="D45" s="9">
        <v>83</v>
      </c>
    </row>
    <row r="46" spans="1:14" x14ac:dyDescent="0.25">
      <c r="A46">
        <v>42</v>
      </c>
      <c r="B46" s="1" t="s">
        <v>42</v>
      </c>
      <c r="C46" s="1">
        <v>8</v>
      </c>
      <c r="D46" s="9">
        <v>51</v>
      </c>
    </row>
    <row r="47" spans="1:14" x14ac:dyDescent="0.25">
      <c r="A47">
        <v>43</v>
      </c>
      <c r="B47" s="2" t="s">
        <v>43</v>
      </c>
      <c r="C47" s="2">
        <v>0</v>
      </c>
      <c r="D47" s="10">
        <v>101</v>
      </c>
    </row>
    <row r="138" spans="8:8" x14ac:dyDescent="0.25">
      <c r="H138" s="30">
        <v>1</v>
      </c>
    </row>
    <row r="139" spans="8:8" x14ac:dyDescent="0.25">
      <c r="H139" s="30">
        <v>1</v>
      </c>
    </row>
    <row r="140" spans="8:8" x14ac:dyDescent="0.25">
      <c r="H140" s="30">
        <v>1</v>
      </c>
    </row>
    <row r="141" spans="8:8" x14ac:dyDescent="0.25">
      <c r="H141" s="30">
        <v>1</v>
      </c>
    </row>
    <row r="142" spans="8:8" x14ac:dyDescent="0.25">
      <c r="H142" s="30">
        <v>1</v>
      </c>
    </row>
    <row r="143" spans="8:8" x14ac:dyDescent="0.25">
      <c r="H143" s="30">
        <v>1</v>
      </c>
    </row>
    <row r="144" spans="8:8" x14ac:dyDescent="0.25">
      <c r="H144" s="30">
        <v>1</v>
      </c>
    </row>
    <row r="145" spans="8:8" x14ac:dyDescent="0.25">
      <c r="H145" s="30">
        <v>1</v>
      </c>
    </row>
    <row r="146" spans="8:8" x14ac:dyDescent="0.25">
      <c r="H146" s="30">
        <v>1</v>
      </c>
    </row>
    <row r="147" spans="8:8" x14ac:dyDescent="0.25">
      <c r="H147" s="30">
        <v>1</v>
      </c>
    </row>
    <row r="148" spans="8:8" x14ac:dyDescent="0.25">
      <c r="H148" s="30">
        <v>1</v>
      </c>
    </row>
    <row r="149" spans="8:8" x14ac:dyDescent="0.25">
      <c r="H149" s="30">
        <v>1</v>
      </c>
    </row>
    <row r="150" spans="8:8" x14ac:dyDescent="0.25">
      <c r="H150" s="30">
        <v>1</v>
      </c>
    </row>
    <row r="151" spans="8:8" x14ac:dyDescent="0.25">
      <c r="H151" s="30">
        <v>1</v>
      </c>
    </row>
    <row r="152" spans="8:8" x14ac:dyDescent="0.25">
      <c r="H152" s="30">
        <v>1</v>
      </c>
    </row>
    <row r="153" spans="8:8" x14ac:dyDescent="0.25">
      <c r="H153" s="30">
        <v>1</v>
      </c>
    </row>
    <row r="154" spans="8:8" x14ac:dyDescent="0.25">
      <c r="H154" s="30">
        <v>1</v>
      </c>
    </row>
    <row r="155" spans="8:8" x14ac:dyDescent="0.25">
      <c r="H155" s="30">
        <v>1</v>
      </c>
    </row>
    <row r="156" spans="8:8" x14ac:dyDescent="0.25">
      <c r="H156" s="30">
        <v>1</v>
      </c>
    </row>
    <row r="157" spans="8:8" x14ac:dyDescent="0.25">
      <c r="H157" s="30">
        <v>1</v>
      </c>
    </row>
    <row r="158" spans="8:8" x14ac:dyDescent="0.25">
      <c r="H158" s="30">
        <v>1</v>
      </c>
    </row>
    <row r="159" spans="8:8" x14ac:dyDescent="0.25">
      <c r="H159" s="30">
        <v>1</v>
      </c>
    </row>
    <row r="160" spans="8:8" x14ac:dyDescent="0.25">
      <c r="H160" s="30">
        <v>1</v>
      </c>
    </row>
    <row r="161" spans="8:8" x14ac:dyDescent="0.25">
      <c r="H161" s="30">
        <v>1</v>
      </c>
    </row>
    <row r="162" spans="8:8" x14ac:dyDescent="0.25">
      <c r="H162" s="30">
        <v>1</v>
      </c>
    </row>
    <row r="163" spans="8:8" x14ac:dyDescent="0.25">
      <c r="H163" s="30">
        <v>1</v>
      </c>
    </row>
    <row r="164" spans="8:8" x14ac:dyDescent="0.25">
      <c r="H164" s="30">
        <v>1</v>
      </c>
    </row>
    <row r="165" spans="8:8" x14ac:dyDescent="0.25">
      <c r="H165" s="30">
        <v>1</v>
      </c>
    </row>
    <row r="166" spans="8:8" x14ac:dyDescent="0.25">
      <c r="H166" s="30">
        <v>1</v>
      </c>
    </row>
    <row r="167" spans="8:8" x14ac:dyDescent="0.25">
      <c r="H167" s="30">
        <v>1</v>
      </c>
    </row>
    <row r="168" spans="8:8" x14ac:dyDescent="0.25">
      <c r="H168" s="30">
        <v>1</v>
      </c>
    </row>
    <row r="169" spans="8:8" x14ac:dyDescent="0.25">
      <c r="H169" s="30">
        <v>1</v>
      </c>
    </row>
    <row r="170" spans="8:8" x14ac:dyDescent="0.25">
      <c r="H170" s="30">
        <v>1</v>
      </c>
    </row>
    <row r="171" spans="8:8" x14ac:dyDescent="0.25">
      <c r="H171" s="30">
        <v>1</v>
      </c>
    </row>
    <row r="172" spans="8:8" x14ac:dyDescent="0.25">
      <c r="H172" s="30">
        <v>1</v>
      </c>
    </row>
    <row r="173" spans="8:8" x14ac:dyDescent="0.25">
      <c r="H173" s="30">
        <v>1</v>
      </c>
    </row>
    <row r="174" spans="8:8" x14ac:dyDescent="0.25">
      <c r="H174" s="30">
        <v>1</v>
      </c>
    </row>
    <row r="175" spans="8:8" x14ac:dyDescent="0.25">
      <c r="H175" s="30">
        <v>1</v>
      </c>
    </row>
    <row r="176" spans="8:8" x14ac:dyDescent="0.25">
      <c r="H176" s="30">
        <v>1</v>
      </c>
    </row>
    <row r="177" spans="8:8" x14ac:dyDescent="0.25">
      <c r="H177" s="30">
        <v>1</v>
      </c>
    </row>
    <row r="178" spans="8:8" x14ac:dyDescent="0.25">
      <c r="H178" s="30">
        <v>1</v>
      </c>
    </row>
    <row r="179" spans="8:8" x14ac:dyDescent="0.25">
      <c r="H179" s="30">
        <v>1</v>
      </c>
    </row>
    <row r="180" spans="8:8" x14ac:dyDescent="0.25">
      <c r="H180" s="30">
        <v>1</v>
      </c>
    </row>
    <row r="181" spans="8:8" x14ac:dyDescent="0.25">
      <c r="H181" s="30">
        <v>1</v>
      </c>
    </row>
    <row r="182" spans="8:8" x14ac:dyDescent="0.25">
      <c r="H182" s="30">
        <v>1</v>
      </c>
    </row>
    <row r="183" spans="8:8" x14ac:dyDescent="0.25">
      <c r="H183" s="30">
        <v>1</v>
      </c>
    </row>
    <row r="184" spans="8:8" x14ac:dyDescent="0.25">
      <c r="H184" s="30">
        <v>1</v>
      </c>
    </row>
    <row r="185" spans="8:8" x14ac:dyDescent="0.25">
      <c r="H185" s="30">
        <v>-1</v>
      </c>
    </row>
    <row r="186" spans="8:8" x14ac:dyDescent="0.25">
      <c r="H186" s="30">
        <v>-1</v>
      </c>
    </row>
    <row r="187" spans="8:8" x14ac:dyDescent="0.25">
      <c r="H187" s="30">
        <v>1</v>
      </c>
    </row>
    <row r="188" spans="8:8" x14ac:dyDescent="0.25">
      <c r="H188" s="30">
        <v>-1</v>
      </c>
    </row>
    <row r="189" spans="8:8" x14ac:dyDescent="0.25">
      <c r="H189" s="30">
        <v>-1</v>
      </c>
    </row>
    <row r="190" spans="8:8" x14ac:dyDescent="0.25">
      <c r="H190" s="30">
        <v>-1</v>
      </c>
    </row>
  </sheetData>
  <autoFilter ref="A4:D47" xr:uid="{00000000-0009-0000-0000-000005000000}"/>
  <mergeCells count="4">
    <mergeCell ref="L11:N11"/>
    <mergeCell ref="H3:I3"/>
    <mergeCell ref="L3:N3"/>
    <mergeCell ref="A1:K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S47"/>
  <sheetViews>
    <sheetView tabSelected="1" zoomScale="70" zoomScaleNormal="70" workbookViewId="0">
      <selection activeCell="R27" sqref="R27"/>
    </sheetView>
  </sheetViews>
  <sheetFormatPr defaultRowHeight="15" x14ac:dyDescent="0.25"/>
  <cols>
    <col min="2" max="2" width="30.5703125" customWidth="1"/>
    <col min="4" max="4" width="19.28515625" customWidth="1"/>
    <col min="5" max="5" width="2" bestFit="1" customWidth="1"/>
    <col min="6" max="6" width="4.7109375" bestFit="1" customWidth="1"/>
    <col min="7" max="7" width="3.7109375" style="82" customWidth="1"/>
    <col min="8" max="8" width="14.140625" style="30" customWidth="1"/>
    <col min="9" max="9" width="12.85546875" style="30" customWidth="1"/>
    <col min="10" max="10" width="7.85546875" style="83" customWidth="1"/>
    <col min="11" max="11" width="14.42578125" style="34" bestFit="1" customWidth="1"/>
    <col min="12" max="12" width="15" style="30" customWidth="1"/>
    <col min="13" max="13" width="12" style="30" customWidth="1"/>
    <col min="14" max="14" width="15.42578125" style="30" bestFit="1" customWidth="1"/>
    <col min="15" max="15" width="15.42578125" bestFit="1" customWidth="1"/>
    <col min="16" max="16" width="20.5703125" bestFit="1" customWidth="1"/>
  </cols>
  <sheetData>
    <row r="1" spans="1:19" s="94" customFormat="1" ht="51" customHeight="1" thickBot="1" x14ac:dyDescent="0.3">
      <c r="A1" s="98" t="s">
        <v>76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5"/>
      <c r="M1" s="95"/>
      <c r="N1" s="95"/>
    </row>
    <row r="2" spans="1:19" x14ac:dyDescent="0.25">
      <c r="B2" s="2" t="s">
        <v>46</v>
      </c>
      <c r="C2" s="92">
        <v>420</v>
      </c>
      <c r="D2" s="93" t="s">
        <v>49</v>
      </c>
      <c r="E2" s="2">
        <v>2</v>
      </c>
      <c r="F2" s="93" t="s">
        <v>48</v>
      </c>
      <c r="O2" s="86"/>
      <c r="P2" s="86"/>
      <c r="Q2" s="86"/>
      <c r="R2" s="86"/>
      <c r="S2" s="86"/>
    </row>
    <row r="3" spans="1:19" ht="18.75" x14ac:dyDescent="0.3">
      <c r="H3" s="100" t="s">
        <v>56</v>
      </c>
      <c r="I3" s="100"/>
      <c r="J3" s="83" t="str">
        <f t="shared" ref="J3:J24" si="0">IF(I3="","",IFERROR(VLOOKUP(I3-1,A:C,3,FALSE),0))</f>
        <v/>
      </c>
      <c r="L3" s="97" t="s">
        <v>59</v>
      </c>
      <c r="M3" s="97"/>
      <c r="N3" s="97"/>
      <c r="O3" s="87"/>
      <c r="P3" s="86"/>
      <c r="Q3" s="86"/>
      <c r="R3" s="86"/>
      <c r="S3" s="86"/>
    </row>
    <row r="4" spans="1:19" x14ac:dyDescent="0.25">
      <c r="B4" s="7"/>
      <c r="C4" s="7" t="s">
        <v>45</v>
      </c>
      <c r="D4" s="3" t="s">
        <v>47</v>
      </c>
      <c r="H4" s="20" t="s">
        <v>50</v>
      </c>
      <c r="I4" s="23" t="s">
        <v>51</v>
      </c>
      <c r="K4" s="43"/>
      <c r="L4" s="33" t="s">
        <v>58</v>
      </c>
      <c r="M4" s="33" t="s">
        <v>57</v>
      </c>
      <c r="N4" s="85" t="s">
        <v>60</v>
      </c>
      <c r="O4" s="88"/>
      <c r="P4" s="42" t="s">
        <v>73</v>
      </c>
      <c r="R4" s="86"/>
      <c r="S4" s="86"/>
    </row>
    <row r="5" spans="1:19" x14ac:dyDescent="0.25">
      <c r="A5">
        <v>1</v>
      </c>
      <c r="B5" s="1" t="s">
        <v>1</v>
      </c>
      <c r="C5" s="8">
        <v>8</v>
      </c>
      <c r="D5" s="8">
        <v>86</v>
      </c>
      <c r="G5" s="82" t="str">
        <f t="shared" ref="G5:G21" si="1">IF(H5="","",IFERROR(VLOOKUP(H5-1,A:C,3,FALSE),0))</f>
        <v/>
      </c>
      <c r="J5" s="83" t="str">
        <f t="shared" si="0"/>
        <v/>
      </c>
      <c r="K5" s="43"/>
      <c r="L5" s="35"/>
      <c r="M5" s="36"/>
      <c r="N5" s="27" t="str">
        <f>IF(L5="","",L5-M5)</f>
        <v/>
      </c>
      <c r="O5" s="88"/>
      <c r="P5" s="86" t="s">
        <v>71</v>
      </c>
      <c r="Q5" s="86"/>
      <c r="R5" s="86"/>
      <c r="S5" s="86"/>
    </row>
    <row r="6" spans="1:19" x14ac:dyDescent="0.25">
      <c r="A6">
        <v>2</v>
      </c>
      <c r="B6" s="1" t="s">
        <v>2</v>
      </c>
      <c r="C6" s="1">
        <v>0</v>
      </c>
      <c r="D6" s="9">
        <v>104</v>
      </c>
      <c r="G6" s="82" t="str">
        <f t="shared" si="1"/>
        <v/>
      </c>
      <c r="J6" s="83" t="str">
        <f t="shared" si="0"/>
        <v/>
      </c>
      <c r="K6" s="43"/>
      <c r="L6" s="35"/>
      <c r="M6" s="36"/>
      <c r="N6" s="27" t="str">
        <f t="shared" ref="N6:N9" si="2">IF(L6="","",L6-M6)</f>
        <v/>
      </c>
      <c r="O6" s="88"/>
      <c r="P6" s="86" t="s">
        <v>72</v>
      </c>
      <c r="Q6" s="86"/>
      <c r="R6" s="86"/>
      <c r="S6" s="86"/>
    </row>
    <row r="7" spans="1:19" x14ac:dyDescent="0.25">
      <c r="A7">
        <v>3</v>
      </c>
      <c r="B7" s="1" t="s">
        <v>3</v>
      </c>
      <c r="C7" s="1">
        <v>0</v>
      </c>
      <c r="D7" s="9">
        <v>76</v>
      </c>
      <c r="G7" s="82" t="str">
        <f t="shared" si="1"/>
        <v/>
      </c>
      <c r="J7" s="83" t="str">
        <f t="shared" si="0"/>
        <v/>
      </c>
      <c r="K7" s="43"/>
      <c r="L7" s="35"/>
      <c r="M7" s="36"/>
      <c r="N7" s="27" t="str">
        <f t="shared" si="2"/>
        <v/>
      </c>
      <c r="O7" s="88"/>
      <c r="P7" s="86"/>
      <c r="Q7" s="86"/>
      <c r="R7" s="86"/>
      <c r="S7" s="86"/>
    </row>
    <row r="8" spans="1:19" x14ac:dyDescent="0.25">
      <c r="A8">
        <v>4</v>
      </c>
      <c r="B8" s="1" t="s">
        <v>4</v>
      </c>
      <c r="C8" s="1">
        <v>10</v>
      </c>
      <c r="D8" s="9">
        <v>87</v>
      </c>
      <c r="G8" s="82" t="str">
        <f t="shared" si="1"/>
        <v/>
      </c>
      <c r="J8" s="83" t="str">
        <f t="shared" si="0"/>
        <v/>
      </c>
      <c r="K8" s="43"/>
      <c r="L8" s="35"/>
      <c r="M8" s="35"/>
      <c r="N8" s="27" t="str">
        <f t="shared" si="2"/>
        <v/>
      </c>
      <c r="O8" s="88"/>
      <c r="P8" s="86"/>
      <c r="Q8" s="86"/>
      <c r="R8" s="86"/>
      <c r="S8" s="86"/>
    </row>
    <row r="9" spans="1:19" x14ac:dyDescent="0.25">
      <c r="A9">
        <v>5</v>
      </c>
      <c r="B9" s="1" t="s">
        <v>5</v>
      </c>
      <c r="C9" s="1">
        <v>1</v>
      </c>
      <c r="D9" s="9">
        <v>108</v>
      </c>
      <c r="G9" s="82" t="str">
        <f t="shared" si="1"/>
        <v/>
      </c>
      <c r="J9" s="83" t="str">
        <f t="shared" si="0"/>
        <v/>
      </c>
      <c r="K9" s="44"/>
      <c r="L9" s="39"/>
      <c r="M9" s="39"/>
      <c r="N9" s="27" t="str">
        <f t="shared" si="2"/>
        <v/>
      </c>
      <c r="O9" s="88"/>
      <c r="P9" s="86"/>
      <c r="Q9" s="86"/>
      <c r="R9" s="86"/>
      <c r="S9" s="86"/>
    </row>
    <row r="10" spans="1:19" x14ac:dyDescent="0.25">
      <c r="A10">
        <v>6</v>
      </c>
      <c r="B10" s="1" t="s">
        <v>6</v>
      </c>
      <c r="C10" s="1">
        <v>2</v>
      </c>
      <c r="D10" s="9">
        <v>120</v>
      </c>
      <c r="G10" s="82" t="str">
        <f t="shared" si="1"/>
        <v/>
      </c>
      <c r="J10" s="83" t="str">
        <f t="shared" si="0"/>
        <v/>
      </c>
      <c r="K10" s="79"/>
      <c r="N10" s="27"/>
    </row>
    <row r="11" spans="1:19" ht="15.75" x14ac:dyDescent="0.25">
      <c r="A11">
        <v>7</v>
      </c>
      <c r="B11" s="1" t="s">
        <v>7</v>
      </c>
      <c r="C11" s="1">
        <v>5</v>
      </c>
      <c r="D11" s="9">
        <v>34</v>
      </c>
      <c r="G11" s="82" t="str">
        <f t="shared" si="1"/>
        <v/>
      </c>
      <c r="J11" s="83" t="str">
        <f t="shared" si="0"/>
        <v/>
      </c>
      <c r="L11" s="101" t="s">
        <v>70</v>
      </c>
      <c r="M11" s="101"/>
      <c r="N11" s="101"/>
    </row>
    <row r="12" spans="1:19" x14ac:dyDescent="0.25">
      <c r="A12">
        <v>8</v>
      </c>
      <c r="B12" s="1" t="s">
        <v>8</v>
      </c>
      <c r="C12" s="1">
        <v>0</v>
      </c>
      <c r="D12" s="9">
        <v>58</v>
      </c>
      <c r="G12" s="82" t="str">
        <f t="shared" si="1"/>
        <v/>
      </c>
      <c r="J12" s="83" t="str">
        <f t="shared" si="0"/>
        <v/>
      </c>
      <c r="K12" s="43" t="str">
        <f>IF(I12="","","interest score")</f>
        <v/>
      </c>
      <c r="L12" s="80" t="s">
        <v>58</v>
      </c>
      <c r="M12" s="80" t="s">
        <v>57</v>
      </c>
      <c r="N12" s="81" t="s">
        <v>69</v>
      </c>
    </row>
    <row r="13" spans="1:19" x14ac:dyDescent="0.25">
      <c r="A13">
        <v>9</v>
      </c>
      <c r="B13" s="1" t="s">
        <v>9</v>
      </c>
      <c r="C13" s="1">
        <v>8</v>
      </c>
      <c r="D13" s="9">
        <v>92</v>
      </c>
      <c r="G13" s="82" t="str">
        <f t="shared" si="1"/>
        <v/>
      </c>
      <c r="J13" s="83" t="str">
        <f t="shared" si="0"/>
        <v/>
      </c>
      <c r="K13" s="79" t="str">
        <f>IF(H5="","",0)</f>
        <v/>
      </c>
      <c r="L13" s="30" t="str">
        <f>IF(K13="","",COUNTIF(G:G,K13))</f>
        <v/>
      </c>
      <c r="M13" s="30" t="str">
        <f>IF(K13="","",COUNTIF(J:J,K13))</f>
        <v/>
      </c>
      <c r="N13" s="30" t="str">
        <f t="shared" ref="N13:N23" si="3">IF(K13="","",COUNTIF(C:C,K13))</f>
        <v/>
      </c>
    </row>
    <row r="14" spans="1:19" x14ac:dyDescent="0.25">
      <c r="A14">
        <v>10</v>
      </c>
      <c r="B14" s="1" t="s">
        <v>10</v>
      </c>
      <c r="C14" s="1">
        <v>7</v>
      </c>
      <c r="D14" s="9">
        <v>56</v>
      </c>
      <c r="G14" s="82" t="str">
        <f t="shared" si="1"/>
        <v/>
      </c>
      <c r="J14" s="83" t="str">
        <f t="shared" si="0"/>
        <v/>
      </c>
      <c r="K14" s="79" t="str">
        <f t="shared" ref="K14:K23" si="4">IF(H6="","",K13+1)</f>
        <v/>
      </c>
      <c r="L14" s="30" t="str">
        <f t="shared" ref="L14:L23" si="5">IF(K14="","",COUNTIF(G:G,K14))</f>
        <v/>
      </c>
      <c r="M14" s="30" t="str">
        <f t="shared" ref="M14:M22" si="6">IF(K15="","",COUNTIF(J:J,K14))</f>
        <v/>
      </c>
      <c r="N14" s="30" t="str">
        <f t="shared" si="3"/>
        <v/>
      </c>
    </row>
    <row r="15" spans="1:19" x14ac:dyDescent="0.25">
      <c r="A15">
        <v>11</v>
      </c>
      <c r="B15" s="1" t="s">
        <v>11</v>
      </c>
      <c r="C15" s="1">
        <v>3</v>
      </c>
      <c r="D15" s="9">
        <v>19</v>
      </c>
      <c r="G15" s="82" t="str">
        <f t="shared" si="1"/>
        <v/>
      </c>
      <c r="J15" s="83" t="str">
        <f t="shared" si="0"/>
        <v/>
      </c>
      <c r="K15" s="79" t="str">
        <f t="shared" si="4"/>
        <v/>
      </c>
      <c r="L15" s="30" t="str">
        <f t="shared" si="5"/>
        <v/>
      </c>
      <c r="M15" s="30" t="str">
        <f t="shared" si="6"/>
        <v/>
      </c>
      <c r="N15" s="30" t="str">
        <f t="shared" si="3"/>
        <v/>
      </c>
    </row>
    <row r="16" spans="1:19" x14ac:dyDescent="0.25">
      <c r="A16">
        <v>12</v>
      </c>
      <c r="B16" s="1" t="s">
        <v>12</v>
      </c>
      <c r="C16" s="1">
        <v>7</v>
      </c>
      <c r="D16" s="9">
        <v>112</v>
      </c>
      <c r="G16" s="82" t="str">
        <f t="shared" si="1"/>
        <v/>
      </c>
      <c r="J16" s="83" t="str">
        <f t="shared" si="0"/>
        <v/>
      </c>
      <c r="K16" s="79" t="str">
        <f t="shared" si="4"/>
        <v/>
      </c>
      <c r="L16" s="30" t="str">
        <f t="shared" si="5"/>
        <v/>
      </c>
      <c r="M16" s="30" t="str">
        <f t="shared" si="6"/>
        <v/>
      </c>
      <c r="N16" s="30" t="str">
        <f t="shared" si="3"/>
        <v/>
      </c>
    </row>
    <row r="17" spans="1:14" x14ac:dyDescent="0.25">
      <c r="A17">
        <v>13</v>
      </c>
      <c r="B17" s="1" t="s">
        <v>13</v>
      </c>
      <c r="C17" s="1">
        <v>10</v>
      </c>
      <c r="D17" s="9">
        <v>73</v>
      </c>
      <c r="G17" s="82" t="str">
        <f t="shared" si="1"/>
        <v/>
      </c>
      <c r="J17" s="83" t="str">
        <f t="shared" si="0"/>
        <v/>
      </c>
      <c r="K17" s="79" t="str">
        <f t="shared" si="4"/>
        <v/>
      </c>
      <c r="L17" s="30" t="str">
        <f t="shared" si="5"/>
        <v/>
      </c>
      <c r="M17" s="30" t="str">
        <f t="shared" si="6"/>
        <v/>
      </c>
      <c r="N17" s="30" t="str">
        <f t="shared" si="3"/>
        <v/>
      </c>
    </row>
    <row r="18" spans="1:14" ht="21" x14ac:dyDescent="0.25">
      <c r="A18">
        <v>14</v>
      </c>
      <c r="B18" s="1" t="s">
        <v>14</v>
      </c>
      <c r="C18" s="1">
        <v>7</v>
      </c>
      <c r="D18" s="9">
        <v>12</v>
      </c>
      <c r="G18" s="82" t="str">
        <f t="shared" si="1"/>
        <v/>
      </c>
      <c r="J18" s="83" t="str">
        <f t="shared" si="0"/>
        <v/>
      </c>
      <c r="K18" s="91" t="str">
        <f t="shared" si="4"/>
        <v/>
      </c>
      <c r="L18" s="30" t="str">
        <f t="shared" si="5"/>
        <v/>
      </c>
      <c r="M18" s="30" t="str">
        <f t="shared" si="6"/>
        <v/>
      </c>
      <c r="N18" s="30" t="str">
        <f t="shared" si="3"/>
        <v/>
      </c>
    </row>
    <row r="19" spans="1:14" x14ac:dyDescent="0.25">
      <c r="A19">
        <v>15</v>
      </c>
      <c r="B19" s="1" t="s">
        <v>15</v>
      </c>
      <c r="C19" s="1">
        <v>7</v>
      </c>
      <c r="D19" s="9">
        <v>112</v>
      </c>
      <c r="G19" s="82" t="str">
        <f t="shared" si="1"/>
        <v/>
      </c>
      <c r="J19" s="83" t="str">
        <f t="shared" si="0"/>
        <v/>
      </c>
      <c r="K19" s="79" t="str">
        <f t="shared" si="4"/>
        <v/>
      </c>
      <c r="L19" s="30" t="str">
        <f t="shared" si="5"/>
        <v/>
      </c>
      <c r="M19" s="30" t="str">
        <f t="shared" si="6"/>
        <v/>
      </c>
      <c r="N19" s="30" t="str">
        <f t="shared" si="3"/>
        <v/>
      </c>
    </row>
    <row r="20" spans="1:14" x14ac:dyDescent="0.25">
      <c r="A20">
        <v>16</v>
      </c>
      <c r="B20" s="1" t="s">
        <v>16</v>
      </c>
      <c r="C20" s="1">
        <v>8</v>
      </c>
      <c r="D20" s="9">
        <v>92</v>
      </c>
      <c r="G20" s="82" t="str">
        <f t="shared" si="1"/>
        <v/>
      </c>
      <c r="J20" s="83" t="str">
        <f t="shared" si="0"/>
        <v/>
      </c>
      <c r="K20" s="79" t="str">
        <f t="shared" si="4"/>
        <v/>
      </c>
      <c r="L20" s="30" t="str">
        <f t="shared" si="5"/>
        <v/>
      </c>
      <c r="M20" s="30" t="str">
        <f t="shared" si="6"/>
        <v/>
      </c>
      <c r="N20" s="30" t="str">
        <f t="shared" si="3"/>
        <v/>
      </c>
    </row>
    <row r="21" spans="1:14" x14ac:dyDescent="0.25">
      <c r="A21">
        <v>17</v>
      </c>
      <c r="B21" s="1" t="s">
        <v>17</v>
      </c>
      <c r="C21" s="1">
        <v>5</v>
      </c>
      <c r="D21" s="9">
        <v>23</v>
      </c>
      <c r="G21" s="82" t="str">
        <f t="shared" si="1"/>
        <v/>
      </c>
      <c r="J21" s="83" t="str">
        <f t="shared" si="0"/>
        <v/>
      </c>
      <c r="K21" s="79" t="str">
        <f t="shared" si="4"/>
        <v/>
      </c>
      <c r="L21" s="30" t="str">
        <f t="shared" si="5"/>
        <v/>
      </c>
      <c r="M21" s="30" t="str">
        <f t="shared" si="6"/>
        <v/>
      </c>
      <c r="N21" s="30" t="str">
        <f t="shared" si="3"/>
        <v/>
      </c>
    </row>
    <row r="22" spans="1:14" x14ac:dyDescent="0.25">
      <c r="A22">
        <v>18</v>
      </c>
      <c r="B22" s="1" t="s">
        <v>18</v>
      </c>
      <c r="C22" s="1">
        <v>7</v>
      </c>
      <c r="D22" s="9">
        <v>64</v>
      </c>
      <c r="G22" s="82" t="str">
        <f>IF(H22="","",IFERROR(VLOOKUP(H22-1,A:C,3,FALSE),0))</f>
        <v/>
      </c>
      <c r="J22" s="83" t="str">
        <f t="shared" si="0"/>
        <v/>
      </c>
      <c r="K22" s="79" t="str">
        <f t="shared" si="4"/>
        <v/>
      </c>
      <c r="L22" s="30" t="str">
        <f t="shared" si="5"/>
        <v/>
      </c>
      <c r="M22" s="30" t="str">
        <f t="shared" si="6"/>
        <v/>
      </c>
      <c r="N22" s="30" t="str">
        <f t="shared" si="3"/>
        <v/>
      </c>
    </row>
    <row r="23" spans="1:14" x14ac:dyDescent="0.25">
      <c r="A23">
        <v>19</v>
      </c>
      <c r="B23" s="1" t="s">
        <v>19</v>
      </c>
      <c r="C23" s="1">
        <v>4</v>
      </c>
      <c r="D23" s="9">
        <v>82</v>
      </c>
      <c r="G23" s="82" t="str">
        <f t="shared" ref="G23" si="7">IF(H23="","",IFERROR(VLOOKUP(I23-1,A:C,3,FALSE),0))</f>
        <v/>
      </c>
      <c r="J23" s="83" t="str">
        <f t="shared" si="0"/>
        <v/>
      </c>
      <c r="K23" s="79" t="str">
        <f t="shared" si="4"/>
        <v/>
      </c>
      <c r="L23" s="30" t="str">
        <f t="shared" si="5"/>
        <v/>
      </c>
      <c r="M23" s="30" t="str">
        <f>IF(K23="","",COUNTIF(J:J,K23))</f>
        <v/>
      </c>
      <c r="N23" s="30" t="str">
        <f t="shared" si="3"/>
        <v/>
      </c>
    </row>
    <row r="24" spans="1:14" x14ac:dyDescent="0.25">
      <c r="A24">
        <v>20</v>
      </c>
      <c r="B24" s="1" t="s">
        <v>20</v>
      </c>
      <c r="C24" s="1">
        <v>9</v>
      </c>
      <c r="D24" s="9">
        <v>85</v>
      </c>
      <c r="J24" s="83" t="str">
        <f t="shared" si="0"/>
        <v/>
      </c>
    </row>
    <row r="25" spans="1:14" x14ac:dyDescent="0.25">
      <c r="A25">
        <v>21</v>
      </c>
      <c r="B25" s="1" t="s">
        <v>21</v>
      </c>
      <c r="C25" s="1">
        <v>10</v>
      </c>
      <c r="D25" s="9">
        <v>78</v>
      </c>
    </row>
    <row r="26" spans="1:14" x14ac:dyDescent="0.25">
      <c r="A26">
        <v>22</v>
      </c>
      <c r="B26" s="1" t="s">
        <v>22</v>
      </c>
      <c r="C26" s="1">
        <v>5</v>
      </c>
      <c r="D26" s="9">
        <v>54</v>
      </c>
    </row>
    <row r="27" spans="1:14" x14ac:dyDescent="0.25">
      <c r="A27">
        <v>23</v>
      </c>
      <c r="B27" s="1" t="s">
        <v>23</v>
      </c>
      <c r="C27" s="1">
        <v>9</v>
      </c>
      <c r="D27" s="9">
        <v>66</v>
      </c>
    </row>
    <row r="28" spans="1:14" x14ac:dyDescent="0.25">
      <c r="A28">
        <v>24</v>
      </c>
      <c r="B28" s="1" t="s">
        <v>24</v>
      </c>
      <c r="C28" s="1">
        <v>3</v>
      </c>
      <c r="D28" s="9">
        <v>20</v>
      </c>
    </row>
    <row r="29" spans="1:14" x14ac:dyDescent="0.25">
      <c r="A29">
        <v>25</v>
      </c>
      <c r="B29" s="1" t="s">
        <v>25</v>
      </c>
      <c r="C29" s="1">
        <v>5</v>
      </c>
      <c r="D29" s="9">
        <v>88</v>
      </c>
    </row>
    <row r="30" spans="1:14" x14ac:dyDescent="0.25">
      <c r="A30">
        <v>26</v>
      </c>
      <c r="B30" s="1" t="s">
        <v>26</v>
      </c>
      <c r="C30" s="1">
        <v>3</v>
      </c>
      <c r="D30" s="9">
        <v>29</v>
      </c>
    </row>
    <row r="31" spans="1:14" x14ac:dyDescent="0.25">
      <c r="A31">
        <v>27</v>
      </c>
      <c r="B31" s="1" t="s">
        <v>27</v>
      </c>
      <c r="C31" s="1">
        <v>9</v>
      </c>
      <c r="D31" s="9">
        <v>80</v>
      </c>
    </row>
    <row r="32" spans="1:14" x14ac:dyDescent="0.25">
      <c r="A32">
        <v>28</v>
      </c>
      <c r="B32" s="1" t="s">
        <v>28</v>
      </c>
      <c r="C32" s="1">
        <v>7</v>
      </c>
      <c r="D32" s="9">
        <v>24</v>
      </c>
    </row>
    <row r="33" spans="1:4" x14ac:dyDescent="0.25">
      <c r="A33">
        <v>29</v>
      </c>
      <c r="B33" s="1" t="s">
        <v>29</v>
      </c>
      <c r="C33" s="1">
        <v>3</v>
      </c>
      <c r="D33" s="9">
        <v>88</v>
      </c>
    </row>
    <row r="34" spans="1:4" x14ac:dyDescent="0.25">
      <c r="A34">
        <v>30</v>
      </c>
      <c r="B34" s="1" t="s">
        <v>30</v>
      </c>
      <c r="C34" s="1">
        <v>7</v>
      </c>
      <c r="D34" s="9">
        <v>118</v>
      </c>
    </row>
    <row r="35" spans="1:4" x14ac:dyDescent="0.25">
      <c r="A35">
        <v>31</v>
      </c>
      <c r="B35" s="1" t="s">
        <v>31</v>
      </c>
      <c r="C35" s="1">
        <v>0</v>
      </c>
      <c r="D35" s="9">
        <v>93</v>
      </c>
    </row>
    <row r="36" spans="1:4" x14ac:dyDescent="0.25">
      <c r="A36">
        <v>32</v>
      </c>
      <c r="B36" s="1" t="s">
        <v>32</v>
      </c>
      <c r="C36" s="1">
        <v>4</v>
      </c>
      <c r="D36" s="9">
        <v>117</v>
      </c>
    </row>
    <row r="37" spans="1:4" x14ac:dyDescent="0.25">
      <c r="A37">
        <v>33</v>
      </c>
      <c r="B37" s="1" t="s">
        <v>33</v>
      </c>
      <c r="C37" s="1">
        <v>8</v>
      </c>
      <c r="D37" s="9">
        <v>45</v>
      </c>
    </row>
    <row r="38" spans="1:4" x14ac:dyDescent="0.25">
      <c r="A38">
        <v>34</v>
      </c>
      <c r="B38" s="1" t="s">
        <v>34</v>
      </c>
      <c r="C38" s="1">
        <v>2</v>
      </c>
      <c r="D38" s="9">
        <v>120</v>
      </c>
    </row>
    <row r="39" spans="1:4" x14ac:dyDescent="0.25">
      <c r="A39">
        <v>35</v>
      </c>
      <c r="B39" s="1" t="s">
        <v>35</v>
      </c>
      <c r="C39" s="1">
        <v>5</v>
      </c>
      <c r="D39" s="9">
        <v>72</v>
      </c>
    </row>
    <row r="40" spans="1:4" x14ac:dyDescent="0.25">
      <c r="A40">
        <v>36</v>
      </c>
      <c r="B40" s="1" t="s">
        <v>36</v>
      </c>
      <c r="C40" s="1">
        <v>3</v>
      </c>
      <c r="D40" s="9">
        <v>54</v>
      </c>
    </row>
    <row r="41" spans="1:4" x14ac:dyDescent="0.25">
      <c r="A41">
        <v>37</v>
      </c>
      <c r="B41" s="1" t="s">
        <v>37</v>
      </c>
      <c r="C41" s="1">
        <v>1</v>
      </c>
      <c r="D41" s="9">
        <v>82</v>
      </c>
    </row>
    <row r="42" spans="1:4" x14ac:dyDescent="0.25">
      <c r="A42">
        <v>38</v>
      </c>
      <c r="B42" s="1" t="s">
        <v>38</v>
      </c>
      <c r="C42" s="1">
        <v>2</v>
      </c>
      <c r="D42" s="9">
        <v>85</v>
      </c>
    </row>
    <row r="43" spans="1:4" x14ac:dyDescent="0.25">
      <c r="A43">
        <v>39</v>
      </c>
      <c r="B43" s="1" t="s">
        <v>39</v>
      </c>
      <c r="C43" s="1">
        <v>6</v>
      </c>
      <c r="D43" s="9">
        <v>104</v>
      </c>
    </row>
    <row r="44" spans="1:4" x14ac:dyDescent="0.25">
      <c r="A44">
        <v>40</v>
      </c>
      <c r="B44" s="1" t="s">
        <v>40</v>
      </c>
      <c r="C44" s="1">
        <v>0</v>
      </c>
      <c r="D44" s="9">
        <v>16</v>
      </c>
    </row>
    <row r="45" spans="1:4" x14ac:dyDescent="0.25">
      <c r="A45">
        <v>41</v>
      </c>
      <c r="B45" s="1" t="s">
        <v>41</v>
      </c>
      <c r="C45" s="1">
        <v>5</v>
      </c>
      <c r="D45" s="9">
        <v>28</v>
      </c>
    </row>
    <row r="46" spans="1:4" x14ac:dyDescent="0.25">
      <c r="A46">
        <v>42</v>
      </c>
      <c r="B46" s="1" t="s">
        <v>42</v>
      </c>
      <c r="C46" s="1">
        <v>3</v>
      </c>
      <c r="D46" s="9">
        <v>109</v>
      </c>
    </row>
    <row r="47" spans="1:4" x14ac:dyDescent="0.25">
      <c r="A47">
        <v>43</v>
      </c>
      <c r="B47" s="2" t="s">
        <v>43</v>
      </c>
      <c r="C47" s="2">
        <v>10</v>
      </c>
      <c r="D47" s="10">
        <v>13</v>
      </c>
    </row>
  </sheetData>
  <autoFilter ref="A4:D47" xr:uid="{00000000-0009-0000-0000-000006000000}"/>
  <mergeCells count="4">
    <mergeCell ref="L11:N11"/>
    <mergeCell ref="H3:I3"/>
    <mergeCell ref="L3:N3"/>
    <mergeCell ref="A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ouristTour">
                <anchor moveWithCells="1" sizeWithCells="1">
                  <from>
                    <xdr:col>10</xdr:col>
                    <xdr:colOff>733425</xdr:colOff>
                    <xdr:row>0</xdr:row>
                    <xdr:rowOff>114300</xdr:rowOff>
                  </from>
                  <to>
                    <xdr:col>11</xdr:col>
                    <xdr:colOff>1019175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2:AT47"/>
  <sheetViews>
    <sheetView zoomScale="90" zoomScaleNormal="90" workbookViewId="0">
      <selection activeCell="B16" sqref="B16"/>
    </sheetView>
  </sheetViews>
  <sheetFormatPr defaultRowHeight="15" x14ac:dyDescent="0.25"/>
  <cols>
    <col min="2" max="2" width="41.28515625" customWidth="1"/>
    <col min="3" max="4" width="6.85546875" bestFit="1" customWidth="1"/>
    <col min="5" max="8" width="6.42578125" bestFit="1" customWidth="1"/>
    <col min="9" max="9" width="6.85546875" bestFit="1" customWidth="1"/>
    <col min="10" max="11" width="6.42578125" bestFit="1" customWidth="1"/>
    <col min="12" max="14" width="6.85546875" bestFit="1" customWidth="1"/>
    <col min="15" max="15" width="6.42578125" bestFit="1" customWidth="1"/>
    <col min="16" max="16" width="6.85546875" bestFit="1" customWidth="1"/>
    <col min="17" max="25" width="6.42578125" bestFit="1" customWidth="1"/>
    <col min="26" max="26" width="6.85546875" bestFit="1" customWidth="1"/>
    <col min="27" max="27" width="6.42578125" bestFit="1" customWidth="1"/>
    <col min="28" max="29" width="6.85546875" bestFit="1" customWidth="1"/>
    <col min="30" max="30" width="6.42578125" bestFit="1" customWidth="1"/>
    <col min="31" max="31" width="6.85546875" bestFit="1" customWidth="1"/>
    <col min="32" max="33" width="6.42578125" bestFit="1" customWidth="1"/>
    <col min="34" max="34" width="6.85546875" bestFit="1" customWidth="1"/>
    <col min="35" max="38" width="6.42578125" bestFit="1" customWidth="1"/>
    <col min="39" max="40" width="6.85546875" bestFit="1" customWidth="1"/>
    <col min="41" max="43" width="6.42578125" bestFit="1" customWidth="1"/>
    <col min="44" max="46" width="6.85546875" bestFit="1" customWidth="1"/>
  </cols>
  <sheetData>
    <row r="2" spans="1:46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R2">
        <v>16</v>
      </c>
      <c r="S2">
        <v>17</v>
      </c>
      <c r="T2">
        <v>18</v>
      </c>
      <c r="U2">
        <v>19</v>
      </c>
      <c r="V2">
        <v>20</v>
      </c>
      <c r="W2">
        <v>21</v>
      </c>
      <c r="X2">
        <v>22</v>
      </c>
      <c r="Y2">
        <v>23</v>
      </c>
      <c r="Z2">
        <v>24</v>
      </c>
      <c r="AA2">
        <v>25</v>
      </c>
      <c r="AB2">
        <v>26</v>
      </c>
      <c r="AC2">
        <v>27</v>
      </c>
      <c r="AD2">
        <v>28</v>
      </c>
      <c r="AE2">
        <v>29</v>
      </c>
      <c r="AF2">
        <v>30</v>
      </c>
      <c r="AG2">
        <v>31</v>
      </c>
      <c r="AH2">
        <v>32</v>
      </c>
      <c r="AI2">
        <v>33</v>
      </c>
      <c r="AJ2">
        <v>34</v>
      </c>
      <c r="AK2">
        <v>35</v>
      </c>
      <c r="AL2">
        <v>36</v>
      </c>
      <c r="AM2">
        <v>37</v>
      </c>
      <c r="AN2">
        <v>38</v>
      </c>
      <c r="AO2">
        <v>39</v>
      </c>
      <c r="AP2">
        <v>40</v>
      </c>
      <c r="AQ2">
        <v>41</v>
      </c>
      <c r="AR2">
        <v>42</v>
      </c>
      <c r="AS2">
        <v>43</v>
      </c>
      <c r="AT2">
        <v>44</v>
      </c>
    </row>
    <row r="3" spans="1:46" ht="255.75" customHeight="1" x14ac:dyDescent="0.35">
      <c r="B3" s="6" t="s">
        <v>44</v>
      </c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  <c r="I3" s="4" t="s">
        <v>6</v>
      </c>
      <c r="J3" s="4" t="s">
        <v>7</v>
      </c>
      <c r="K3" s="4" t="s">
        <v>8</v>
      </c>
      <c r="L3" s="4" t="s">
        <v>9</v>
      </c>
      <c r="M3" s="4" t="s">
        <v>10</v>
      </c>
      <c r="N3" s="4" t="s">
        <v>11</v>
      </c>
      <c r="O3" s="4" t="s">
        <v>12</v>
      </c>
      <c r="P3" s="4" t="s">
        <v>13</v>
      </c>
      <c r="Q3" s="4" t="s">
        <v>14</v>
      </c>
      <c r="R3" s="4" t="s">
        <v>15</v>
      </c>
      <c r="S3" s="4" t="s">
        <v>16</v>
      </c>
      <c r="T3" s="4" t="s">
        <v>17</v>
      </c>
      <c r="U3" s="4" t="s">
        <v>18</v>
      </c>
      <c r="V3" s="4" t="s">
        <v>19</v>
      </c>
      <c r="W3" s="4" t="s">
        <v>20</v>
      </c>
      <c r="X3" s="4" t="s">
        <v>21</v>
      </c>
      <c r="Y3" s="4" t="s">
        <v>22</v>
      </c>
      <c r="Z3" s="4" t="s">
        <v>23</v>
      </c>
      <c r="AA3" s="4" t="s">
        <v>24</v>
      </c>
      <c r="AB3" s="4" t="s">
        <v>25</v>
      </c>
      <c r="AC3" s="4" t="s">
        <v>26</v>
      </c>
      <c r="AD3" s="4" t="s">
        <v>27</v>
      </c>
      <c r="AE3" s="4" t="s">
        <v>28</v>
      </c>
      <c r="AF3" s="4" t="s">
        <v>29</v>
      </c>
      <c r="AG3" s="4" t="s">
        <v>30</v>
      </c>
      <c r="AH3" s="4" t="s">
        <v>31</v>
      </c>
      <c r="AI3" s="4" t="s">
        <v>32</v>
      </c>
      <c r="AJ3" s="4" t="s">
        <v>33</v>
      </c>
      <c r="AK3" s="4" t="s">
        <v>34</v>
      </c>
      <c r="AL3" s="4" t="s">
        <v>35</v>
      </c>
      <c r="AM3" s="4" t="s">
        <v>36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5" t="s">
        <v>43</v>
      </c>
    </row>
    <row r="4" spans="1:46" x14ac:dyDescent="0.25">
      <c r="A4">
        <v>1</v>
      </c>
      <c r="B4" s="1" t="s">
        <v>0</v>
      </c>
      <c r="C4" s="11">
        <v>0</v>
      </c>
      <c r="D4" s="12">
        <v>14</v>
      </c>
      <c r="E4" s="12">
        <v>3</v>
      </c>
      <c r="F4" s="12">
        <v>7</v>
      </c>
      <c r="G4" s="12">
        <v>6</v>
      </c>
      <c r="H4" s="12">
        <v>5</v>
      </c>
      <c r="I4" s="12">
        <v>8</v>
      </c>
      <c r="J4" s="12">
        <v>8</v>
      </c>
      <c r="K4" s="12">
        <v>12</v>
      </c>
      <c r="L4" s="12">
        <v>13.000000000000002</v>
      </c>
      <c r="M4" s="12">
        <v>14</v>
      </c>
      <c r="N4" s="12">
        <v>20.999999999999996</v>
      </c>
      <c r="O4" s="12">
        <v>3</v>
      </c>
      <c r="P4" s="12">
        <v>3</v>
      </c>
      <c r="Q4" s="12">
        <v>7</v>
      </c>
      <c r="R4" s="12">
        <v>4</v>
      </c>
      <c r="S4" s="12">
        <v>6</v>
      </c>
      <c r="T4" s="12">
        <v>6</v>
      </c>
      <c r="U4" s="12">
        <v>5</v>
      </c>
      <c r="V4" s="12">
        <v>9</v>
      </c>
      <c r="W4" s="12">
        <v>6</v>
      </c>
      <c r="X4" s="12">
        <v>8</v>
      </c>
      <c r="Y4" s="12">
        <v>6</v>
      </c>
      <c r="Z4" s="12">
        <v>2</v>
      </c>
      <c r="AA4" s="12">
        <v>2</v>
      </c>
      <c r="AB4" s="12">
        <v>8</v>
      </c>
      <c r="AC4" s="12">
        <v>3</v>
      </c>
      <c r="AD4" s="12">
        <v>4</v>
      </c>
      <c r="AE4" s="12">
        <v>7</v>
      </c>
      <c r="AF4" s="12">
        <v>6</v>
      </c>
      <c r="AG4" s="12">
        <v>5</v>
      </c>
      <c r="AH4" s="12">
        <v>3</v>
      </c>
      <c r="AI4" s="12">
        <v>7</v>
      </c>
      <c r="AJ4" s="12">
        <v>5</v>
      </c>
      <c r="AK4" s="12">
        <v>12</v>
      </c>
      <c r="AL4" s="12">
        <v>3</v>
      </c>
      <c r="AM4" s="12">
        <v>16</v>
      </c>
      <c r="AN4" s="12">
        <v>20</v>
      </c>
      <c r="AO4" s="12">
        <v>5</v>
      </c>
      <c r="AP4" s="12">
        <v>13.000000000000002</v>
      </c>
      <c r="AQ4" s="12">
        <v>6</v>
      </c>
      <c r="AR4" s="12">
        <v>5</v>
      </c>
      <c r="AS4" s="12">
        <v>3</v>
      </c>
      <c r="AT4" s="13">
        <v>4</v>
      </c>
    </row>
    <row r="5" spans="1:46" x14ac:dyDescent="0.25">
      <c r="A5">
        <v>2</v>
      </c>
      <c r="B5" s="1" t="s">
        <v>1</v>
      </c>
      <c r="C5" s="14">
        <v>13.000000000000002</v>
      </c>
      <c r="D5" s="15">
        <v>0</v>
      </c>
      <c r="E5" s="15">
        <v>12</v>
      </c>
      <c r="F5" s="15">
        <v>14</v>
      </c>
      <c r="G5" s="15">
        <v>14</v>
      </c>
      <c r="H5" s="15">
        <v>15</v>
      </c>
      <c r="I5" s="15">
        <v>17</v>
      </c>
      <c r="J5" s="15">
        <v>13.000000000000002</v>
      </c>
      <c r="K5" s="15">
        <v>18</v>
      </c>
      <c r="L5" s="15">
        <v>6</v>
      </c>
      <c r="M5" s="15">
        <v>6</v>
      </c>
      <c r="N5" s="15">
        <v>25</v>
      </c>
      <c r="O5" s="15">
        <v>14</v>
      </c>
      <c r="P5" s="15">
        <v>12</v>
      </c>
      <c r="Q5" s="15">
        <v>12</v>
      </c>
      <c r="R5" s="15">
        <v>14</v>
      </c>
      <c r="S5" s="15">
        <v>17</v>
      </c>
      <c r="T5" s="15">
        <v>10</v>
      </c>
      <c r="U5" s="15">
        <v>15</v>
      </c>
      <c r="V5" s="15">
        <v>15</v>
      </c>
      <c r="W5" s="15">
        <v>12</v>
      </c>
      <c r="X5" s="15">
        <v>14</v>
      </c>
      <c r="Y5" s="15">
        <v>14</v>
      </c>
      <c r="Z5" s="15">
        <v>12</v>
      </c>
      <c r="AA5" s="15">
        <v>11</v>
      </c>
      <c r="AB5" s="15">
        <v>10</v>
      </c>
      <c r="AC5" s="15">
        <v>13.000000000000002</v>
      </c>
      <c r="AD5" s="15">
        <v>14</v>
      </c>
      <c r="AE5" s="15">
        <v>16</v>
      </c>
      <c r="AF5" s="15">
        <v>11</v>
      </c>
      <c r="AG5" s="15">
        <v>12</v>
      </c>
      <c r="AH5" s="15">
        <v>12</v>
      </c>
      <c r="AI5" s="15">
        <v>16</v>
      </c>
      <c r="AJ5" s="15">
        <v>14</v>
      </c>
      <c r="AK5" s="15">
        <v>19</v>
      </c>
      <c r="AL5" s="15">
        <v>12</v>
      </c>
      <c r="AM5" s="15">
        <v>20</v>
      </c>
      <c r="AN5" s="15">
        <v>23.000000000000004</v>
      </c>
      <c r="AO5" s="15">
        <v>9</v>
      </c>
      <c r="AP5" s="15">
        <v>10</v>
      </c>
      <c r="AQ5" s="15">
        <v>14</v>
      </c>
      <c r="AR5" s="15">
        <v>15</v>
      </c>
      <c r="AS5" s="15">
        <v>14</v>
      </c>
      <c r="AT5" s="16">
        <v>13.000000000000002</v>
      </c>
    </row>
    <row r="6" spans="1:46" x14ac:dyDescent="0.25">
      <c r="A6">
        <v>3</v>
      </c>
      <c r="B6" s="1" t="s">
        <v>2</v>
      </c>
      <c r="C6" s="14">
        <v>3</v>
      </c>
      <c r="D6" s="15">
        <v>14</v>
      </c>
      <c r="E6" s="15">
        <v>0</v>
      </c>
      <c r="F6" s="15">
        <v>7</v>
      </c>
      <c r="G6" s="15">
        <v>4</v>
      </c>
      <c r="H6" s="15">
        <v>6</v>
      </c>
      <c r="I6" s="15">
        <v>10</v>
      </c>
      <c r="J6" s="15">
        <v>8</v>
      </c>
      <c r="K6" s="15">
        <v>12</v>
      </c>
      <c r="L6" s="15">
        <v>13.000000000000002</v>
      </c>
      <c r="M6" s="15">
        <v>14</v>
      </c>
      <c r="N6" s="15">
        <v>20</v>
      </c>
      <c r="O6" s="15">
        <v>5</v>
      </c>
      <c r="P6" s="15">
        <v>0</v>
      </c>
      <c r="Q6" s="15">
        <v>6</v>
      </c>
      <c r="R6" s="15">
        <v>3</v>
      </c>
      <c r="S6" s="15">
        <v>7</v>
      </c>
      <c r="T6" s="15">
        <v>5</v>
      </c>
      <c r="U6" s="15">
        <v>6</v>
      </c>
      <c r="V6" s="15">
        <v>9</v>
      </c>
      <c r="W6" s="15">
        <v>6</v>
      </c>
      <c r="X6" s="15">
        <v>8</v>
      </c>
      <c r="Y6" s="15">
        <v>7</v>
      </c>
      <c r="Z6" s="15">
        <v>2</v>
      </c>
      <c r="AA6" s="15">
        <v>1</v>
      </c>
      <c r="AB6" s="15">
        <v>8</v>
      </c>
      <c r="AC6" s="15">
        <v>2</v>
      </c>
      <c r="AD6" s="15">
        <v>6</v>
      </c>
      <c r="AE6" s="15">
        <v>6</v>
      </c>
      <c r="AF6" s="15">
        <v>6</v>
      </c>
      <c r="AG6" s="15">
        <v>4</v>
      </c>
      <c r="AH6" s="15">
        <v>0</v>
      </c>
      <c r="AI6" s="15">
        <v>8</v>
      </c>
      <c r="AJ6" s="15">
        <v>4</v>
      </c>
      <c r="AK6" s="15">
        <v>13.000000000000002</v>
      </c>
      <c r="AL6" s="15">
        <v>0</v>
      </c>
      <c r="AM6" s="15">
        <v>15</v>
      </c>
      <c r="AN6" s="15">
        <v>19</v>
      </c>
      <c r="AO6" s="15">
        <v>4</v>
      </c>
      <c r="AP6" s="15">
        <v>13.000000000000002</v>
      </c>
      <c r="AQ6" s="15">
        <v>7</v>
      </c>
      <c r="AR6" s="15">
        <v>4</v>
      </c>
      <c r="AS6" s="15">
        <v>5</v>
      </c>
      <c r="AT6" s="16">
        <v>2</v>
      </c>
    </row>
    <row r="7" spans="1:46" x14ac:dyDescent="0.25">
      <c r="A7">
        <v>4</v>
      </c>
      <c r="B7" s="1" t="s">
        <v>3</v>
      </c>
      <c r="C7" s="14">
        <v>6</v>
      </c>
      <c r="D7" s="15">
        <v>14</v>
      </c>
      <c r="E7" s="15">
        <v>6</v>
      </c>
      <c r="F7" s="15">
        <v>0</v>
      </c>
      <c r="G7" s="15">
        <v>3</v>
      </c>
      <c r="H7" s="15">
        <v>3</v>
      </c>
      <c r="I7" s="15">
        <v>10</v>
      </c>
      <c r="J7" s="15">
        <v>7</v>
      </c>
      <c r="K7" s="15">
        <v>6</v>
      </c>
      <c r="L7" s="15">
        <v>13.000000000000002</v>
      </c>
      <c r="M7" s="15">
        <v>14</v>
      </c>
      <c r="N7" s="15">
        <v>17</v>
      </c>
      <c r="O7" s="15">
        <v>7</v>
      </c>
      <c r="P7" s="15">
        <v>6</v>
      </c>
      <c r="Q7" s="15">
        <v>7</v>
      </c>
      <c r="R7" s="15">
        <v>4</v>
      </c>
      <c r="S7" s="15">
        <v>5</v>
      </c>
      <c r="T7" s="15">
        <v>4</v>
      </c>
      <c r="U7" s="15">
        <v>3</v>
      </c>
      <c r="V7" s="15">
        <v>3</v>
      </c>
      <c r="W7" s="15">
        <v>2</v>
      </c>
      <c r="X7" s="15">
        <v>2</v>
      </c>
      <c r="Y7" s="15">
        <v>0</v>
      </c>
      <c r="Z7" s="15">
        <v>6</v>
      </c>
      <c r="AA7" s="15">
        <v>5</v>
      </c>
      <c r="AB7" s="15">
        <v>11</v>
      </c>
      <c r="AC7" s="15">
        <v>6</v>
      </c>
      <c r="AD7" s="15">
        <v>2</v>
      </c>
      <c r="AE7" s="15">
        <v>6</v>
      </c>
      <c r="AF7" s="15">
        <v>7</v>
      </c>
      <c r="AG7" s="15">
        <v>8</v>
      </c>
      <c r="AH7" s="15">
        <v>6</v>
      </c>
      <c r="AI7" s="15">
        <v>2</v>
      </c>
      <c r="AJ7" s="15">
        <v>7</v>
      </c>
      <c r="AK7" s="15">
        <v>7</v>
      </c>
      <c r="AL7" s="15">
        <v>6</v>
      </c>
      <c r="AM7" s="15">
        <v>12</v>
      </c>
      <c r="AN7" s="15">
        <v>16</v>
      </c>
      <c r="AO7" s="15">
        <v>6</v>
      </c>
      <c r="AP7" s="15">
        <v>12</v>
      </c>
      <c r="AQ7" s="15">
        <v>1</v>
      </c>
      <c r="AR7" s="15">
        <v>8</v>
      </c>
      <c r="AS7" s="15">
        <v>7</v>
      </c>
      <c r="AT7" s="16">
        <v>6</v>
      </c>
    </row>
    <row r="8" spans="1:46" x14ac:dyDescent="0.25">
      <c r="A8">
        <v>5</v>
      </c>
      <c r="B8" s="1" t="s">
        <v>4</v>
      </c>
      <c r="C8" s="14">
        <v>4</v>
      </c>
      <c r="D8" s="15">
        <v>14</v>
      </c>
      <c r="E8" s="15">
        <v>4</v>
      </c>
      <c r="F8" s="15">
        <v>5</v>
      </c>
      <c r="G8" s="15">
        <v>0</v>
      </c>
      <c r="H8" s="15">
        <v>4</v>
      </c>
      <c r="I8" s="15">
        <v>11</v>
      </c>
      <c r="J8" s="15">
        <v>7</v>
      </c>
      <c r="K8" s="15">
        <v>9</v>
      </c>
      <c r="L8" s="15">
        <v>13.000000000000002</v>
      </c>
      <c r="M8" s="15">
        <v>14</v>
      </c>
      <c r="N8" s="15">
        <v>17</v>
      </c>
      <c r="O8" s="15">
        <v>6</v>
      </c>
      <c r="P8" s="15">
        <v>4</v>
      </c>
      <c r="Q8" s="15">
        <v>7</v>
      </c>
      <c r="R8" s="15">
        <v>1</v>
      </c>
      <c r="S8" s="15">
        <v>6</v>
      </c>
      <c r="T8" s="15">
        <v>5</v>
      </c>
      <c r="U8" s="15">
        <v>4</v>
      </c>
      <c r="V8" s="15">
        <v>6</v>
      </c>
      <c r="W8" s="15">
        <v>3</v>
      </c>
      <c r="X8" s="15">
        <v>5</v>
      </c>
      <c r="Y8" s="15">
        <v>4</v>
      </c>
      <c r="Z8" s="15">
        <v>4</v>
      </c>
      <c r="AA8" s="15">
        <v>2</v>
      </c>
      <c r="AB8" s="15">
        <v>9</v>
      </c>
      <c r="AC8" s="15">
        <v>3</v>
      </c>
      <c r="AD8" s="15">
        <v>4</v>
      </c>
      <c r="AE8" s="15">
        <v>3</v>
      </c>
      <c r="AF8" s="15">
        <v>7</v>
      </c>
      <c r="AG8" s="15">
        <v>6</v>
      </c>
      <c r="AH8" s="15">
        <v>4</v>
      </c>
      <c r="AI8" s="15">
        <v>5</v>
      </c>
      <c r="AJ8" s="15">
        <v>4</v>
      </c>
      <c r="AK8" s="15">
        <v>10</v>
      </c>
      <c r="AL8" s="15">
        <v>3</v>
      </c>
      <c r="AM8" s="15">
        <v>12</v>
      </c>
      <c r="AN8" s="15">
        <v>16</v>
      </c>
      <c r="AO8" s="15">
        <v>6</v>
      </c>
      <c r="AP8" s="15">
        <v>12</v>
      </c>
      <c r="AQ8" s="15">
        <v>4</v>
      </c>
      <c r="AR8" s="15">
        <v>5</v>
      </c>
      <c r="AS8" s="15">
        <v>6</v>
      </c>
      <c r="AT8" s="16">
        <v>3</v>
      </c>
    </row>
    <row r="9" spans="1:46" x14ac:dyDescent="0.25">
      <c r="A9">
        <v>6</v>
      </c>
      <c r="B9" s="1" t="s">
        <v>5</v>
      </c>
      <c r="C9" s="14">
        <v>3</v>
      </c>
      <c r="D9" s="15">
        <v>14</v>
      </c>
      <c r="E9" s="15">
        <v>6</v>
      </c>
      <c r="F9" s="15">
        <v>3</v>
      </c>
      <c r="G9" s="15">
        <v>3</v>
      </c>
      <c r="H9" s="15">
        <v>0</v>
      </c>
      <c r="I9" s="15">
        <v>7</v>
      </c>
      <c r="J9" s="15">
        <v>7</v>
      </c>
      <c r="K9" s="15">
        <v>8</v>
      </c>
      <c r="L9" s="15">
        <v>13.000000000000002</v>
      </c>
      <c r="M9" s="15">
        <v>14</v>
      </c>
      <c r="N9" s="15">
        <v>18</v>
      </c>
      <c r="O9" s="15">
        <v>4</v>
      </c>
      <c r="P9" s="15">
        <v>6</v>
      </c>
      <c r="Q9" s="15">
        <v>7</v>
      </c>
      <c r="R9" s="15">
        <v>4</v>
      </c>
      <c r="S9" s="15">
        <v>3</v>
      </c>
      <c r="T9" s="15">
        <v>5</v>
      </c>
      <c r="U9" s="15">
        <v>1</v>
      </c>
      <c r="V9" s="15">
        <v>6</v>
      </c>
      <c r="W9" s="15">
        <v>2</v>
      </c>
      <c r="X9" s="15">
        <v>4</v>
      </c>
      <c r="Y9" s="15">
        <v>3</v>
      </c>
      <c r="Z9" s="15">
        <v>5</v>
      </c>
      <c r="AA9" s="15">
        <v>5</v>
      </c>
      <c r="AB9" s="15">
        <v>8</v>
      </c>
      <c r="AC9" s="15">
        <v>6</v>
      </c>
      <c r="AD9" s="15">
        <v>1</v>
      </c>
      <c r="AE9" s="15">
        <v>6</v>
      </c>
      <c r="AF9" s="15">
        <v>7</v>
      </c>
      <c r="AG9" s="15">
        <v>5</v>
      </c>
      <c r="AH9" s="15">
        <v>6</v>
      </c>
      <c r="AI9" s="15">
        <v>4</v>
      </c>
      <c r="AJ9" s="15">
        <v>7</v>
      </c>
      <c r="AK9" s="15">
        <v>8</v>
      </c>
      <c r="AL9" s="15">
        <v>6</v>
      </c>
      <c r="AM9" s="15">
        <v>12</v>
      </c>
      <c r="AN9" s="15">
        <v>16</v>
      </c>
      <c r="AO9" s="15">
        <v>6</v>
      </c>
      <c r="AP9" s="15">
        <v>12</v>
      </c>
      <c r="AQ9" s="15">
        <v>2</v>
      </c>
      <c r="AR9" s="15">
        <v>8</v>
      </c>
      <c r="AS9" s="15">
        <v>4</v>
      </c>
      <c r="AT9" s="16">
        <v>6</v>
      </c>
    </row>
    <row r="10" spans="1:46" x14ac:dyDescent="0.25">
      <c r="A10">
        <v>7</v>
      </c>
      <c r="B10" s="1" t="s">
        <v>6</v>
      </c>
      <c r="C10" s="14">
        <v>6</v>
      </c>
      <c r="D10" s="15">
        <v>15</v>
      </c>
      <c r="E10" s="15">
        <v>8</v>
      </c>
      <c r="F10" s="15">
        <v>10</v>
      </c>
      <c r="G10" s="15">
        <v>10</v>
      </c>
      <c r="H10" s="15">
        <v>8</v>
      </c>
      <c r="I10" s="15">
        <v>0</v>
      </c>
      <c r="J10" s="15">
        <v>10</v>
      </c>
      <c r="K10" s="15">
        <v>15</v>
      </c>
      <c r="L10" s="15">
        <v>15</v>
      </c>
      <c r="M10" s="15">
        <v>15</v>
      </c>
      <c r="N10" s="15">
        <v>23.000000000000004</v>
      </c>
      <c r="O10" s="15">
        <v>6</v>
      </c>
      <c r="P10" s="15">
        <v>8</v>
      </c>
      <c r="Q10" s="15">
        <v>8</v>
      </c>
      <c r="R10" s="15">
        <v>10</v>
      </c>
      <c r="S10" s="15">
        <v>9</v>
      </c>
      <c r="T10" s="15">
        <v>7</v>
      </c>
      <c r="U10" s="15">
        <v>8</v>
      </c>
      <c r="V10" s="15">
        <v>12</v>
      </c>
      <c r="W10" s="15">
        <v>9</v>
      </c>
      <c r="X10" s="15">
        <v>11</v>
      </c>
      <c r="Y10" s="15">
        <v>10</v>
      </c>
      <c r="Z10" s="15">
        <v>8</v>
      </c>
      <c r="AA10" s="15">
        <v>7</v>
      </c>
      <c r="AB10" s="15">
        <v>7</v>
      </c>
      <c r="AC10" s="15">
        <v>8</v>
      </c>
      <c r="AD10" s="15">
        <v>8</v>
      </c>
      <c r="AE10" s="15">
        <v>12</v>
      </c>
      <c r="AF10" s="15">
        <v>7</v>
      </c>
      <c r="AG10" s="15">
        <v>4</v>
      </c>
      <c r="AH10" s="15">
        <v>8</v>
      </c>
      <c r="AI10" s="15">
        <v>10</v>
      </c>
      <c r="AJ10" s="15">
        <v>10</v>
      </c>
      <c r="AK10" s="15">
        <v>15</v>
      </c>
      <c r="AL10" s="15">
        <v>8</v>
      </c>
      <c r="AM10" s="15">
        <v>18</v>
      </c>
      <c r="AN10" s="15">
        <v>22</v>
      </c>
      <c r="AO10" s="15">
        <v>6</v>
      </c>
      <c r="AP10" s="15">
        <v>15</v>
      </c>
      <c r="AQ10" s="15">
        <v>9</v>
      </c>
      <c r="AR10" s="15">
        <v>10</v>
      </c>
      <c r="AS10" s="15">
        <v>6</v>
      </c>
      <c r="AT10" s="16">
        <v>9</v>
      </c>
    </row>
    <row r="11" spans="1:46" x14ac:dyDescent="0.25">
      <c r="A11">
        <v>8</v>
      </c>
      <c r="B11" s="1" t="s">
        <v>7</v>
      </c>
      <c r="C11" s="14">
        <v>8</v>
      </c>
      <c r="D11" s="15">
        <v>13.000000000000002</v>
      </c>
      <c r="E11" s="15">
        <v>7</v>
      </c>
      <c r="F11" s="15">
        <v>8</v>
      </c>
      <c r="G11" s="15">
        <v>8</v>
      </c>
      <c r="H11" s="15">
        <v>9</v>
      </c>
      <c r="I11" s="15">
        <v>11</v>
      </c>
      <c r="J11" s="15">
        <v>0</v>
      </c>
      <c r="K11" s="15">
        <v>12</v>
      </c>
      <c r="L11" s="15">
        <v>12</v>
      </c>
      <c r="M11" s="15">
        <v>13.000000000000002</v>
      </c>
      <c r="N11" s="15">
        <v>19</v>
      </c>
      <c r="O11" s="15">
        <v>9</v>
      </c>
      <c r="P11" s="15">
        <v>7</v>
      </c>
      <c r="Q11" s="15">
        <v>2</v>
      </c>
      <c r="R11" s="15">
        <v>8</v>
      </c>
      <c r="S11" s="15">
        <v>11</v>
      </c>
      <c r="T11" s="15">
        <v>4</v>
      </c>
      <c r="U11" s="15">
        <v>9</v>
      </c>
      <c r="V11" s="15">
        <v>9</v>
      </c>
      <c r="W11" s="15">
        <v>6</v>
      </c>
      <c r="X11" s="15">
        <v>8</v>
      </c>
      <c r="Y11" s="15">
        <v>8</v>
      </c>
      <c r="Z11" s="15">
        <v>7</v>
      </c>
      <c r="AA11" s="15">
        <v>6</v>
      </c>
      <c r="AB11" s="15">
        <v>10</v>
      </c>
      <c r="AC11" s="15">
        <v>7</v>
      </c>
      <c r="AD11" s="15">
        <v>8</v>
      </c>
      <c r="AE11" s="15">
        <v>11</v>
      </c>
      <c r="AF11" s="15">
        <v>3</v>
      </c>
      <c r="AG11" s="15">
        <v>6</v>
      </c>
      <c r="AH11" s="15">
        <v>7</v>
      </c>
      <c r="AI11" s="15">
        <v>10</v>
      </c>
      <c r="AJ11" s="15">
        <v>9</v>
      </c>
      <c r="AK11" s="15">
        <v>13.000000000000002</v>
      </c>
      <c r="AL11" s="15">
        <v>7</v>
      </c>
      <c r="AM11" s="15">
        <v>14</v>
      </c>
      <c r="AN11" s="15">
        <v>18</v>
      </c>
      <c r="AO11" s="15">
        <v>4</v>
      </c>
      <c r="AP11" s="15">
        <v>12</v>
      </c>
      <c r="AQ11" s="15">
        <v>8</v>
      </c>
      <c r="AR11" s="15">
        <v>9</v>
      </c>
      <c r="AS11" s="15">
        <v>9</v>
      </c>
      <c r="AT11" s="16">
        <v>8</v>
      </c>
    </row>
    <row r="12" spans="1:46" x14ac:dyDescent="0.25">
      <c r="A12">
        <v>9</v>
      </c>
      <c r="B12" s="1" t="s">
        <v>8</v>
      </c>
      <c r="C12" s="14">
        <v>11</v>
      </c>
      <c r="D12" s="15">
        <v>18</v>
      </c>
      <c r="E12" s="15">
        <v>10</v>
      </c>
      <c r="F12" s="15">
        <v>6</v>
      </c>
      <c r="G12" s="15">
        <v>7</v>
      </c>
      <c r="H12" s="15">
        <v>7</v>
      </c>
      <c r="I12" s="15">
        <v>14</v>
      </c>
      <c r="J12" s="15">
        <v>11</v>
      </c>
      <c r="K12" s="15">
        <v>0</v>
      </c>
      <c r="L12" s="15">
        <v>17</v>
      </c>
      <c r="M12" s="15">
        <v>18</v>
      </c>
      <c r="N12" s="15">
        <v>12</v>
      </c>
      <c r="O12" s="15">
        <v>11</v>
      </c>
      <c r="P12" s="15">
        <v>11</v>
      </c>
      <c r="Q12" s="15">
        <v>11</v>
      </c>
      <c r="R12" s="15">
        <v>8</v>
      </c>
      <c r="S12" s="15">
        <v>9</v>
      </c>
      <c r="T12" s="15">
        <v>9</v>
      </c>
      <c r="U12" s="15">
        <v>8</v>
      </c>
      <c r="V12" s="15">
        <v>5</v>
      </c>
      <c r="W12" s="15">
        <v>6</v>
      </c>
      <c r="X12" s="15">
        <v>4</v>
      </c>
      <c r="Y12" s="15">
        <v>6</v>
      </c>
      <c r="Z12" s="15">
        <v>10</v>
      </c>
      <c r="AA12" s="15">
        <v>9</v>
      </c>
      <c r="AB12" s="15">
        <v>15</v>
      </c>
      <c r="AC12" s="15">
        <v>10</v>
      </c>
      <c r="AD12" s="15">
        <v>7</v>
      </c>
      <c r="AE12" s="15">
        <v>10</v>
      </c>
      <c r="AF12" s="15">
        <v>11</v>
      </c>
      <c r="AG12" s="15">
        <v>12</v>
      </c>
      <c r="AH12" s="15">
        <v>11</v>
      </c>
      <c r="AI12" s="15">
        <v>7</v>
      </c>
      <c r="AJ12" s="15">
        <v>11</v>
      </c>
      <c r="AK12" s="15">
        <v>10</v>
      </c>
      <c r="AL12" s="15">
        <v>10</v>
      </c>
      <c r="AM12" s="15">
        <v>12</v>
      </c>
      <c r="AN12" s="15">
        <v>13.000000000000002</v>
      </c>
      <c r="AO12" s="15">
        <v>10</v>
      </c>
      <c r="AP12" s="15">
        <v>16</v>
      </c>
      <c r="AQ12" s="15">
        <v>6</v>
      </c>
      <c r="AR12" s="15">
        <v>12</v>
      </c>
      <c r="AS12" s="15">
        <v>11</v>
      </c>
      <c r="AT12" s="16">
        <v>10</v>
      </c>
    </row>
    <row r="13" spans="1:46" x14ac:dyDescent="0.25">
      <c r="A13">
        <v>10</v>
      </c>
      <c r="B13" s="1" t="s">
        <v>9</v>
      </c>
      <c r="C13" s="14">
        <v>13.000000000000002</v>
      </c>
      <c r="D13" s="15">
        <v>5</v>
      </c>
      <c r="E13" s="15">
        <v>12</v>
      </c>
      <c r="F13" s="15">
        <v>12</v>
      </c>
      <c r="G13" s="15">
        <v>12</v>
      </c>
      <c r="H13" s="15">
        <v>13.000000000000002</v>
      </c>
      <c r="I13" s="15">
        <v>17</v>
      </c>
      <c r="J13" s="15">
        <v>12</v>
      </c>
      <c r="K13" s="15">
        <v>16</v>
      </c>
      <c r="L13" s="15">
        <v>0</v>
      </c>
      <c r="M13" s="15">
        <v>5</v>
      </c>
      <c r="N13" s="15">
        <v>23.000000000000004</v>
      </c>
      <c r="O13" s="15">
        <v>15</v>
      </c>
      <c r="P13" s="15">
        <v>12</v>
      </c>
      <c r="Q13" s="15">
        <v>10</v>
      </c>
      <c r="R13" s="15">
        <v>13.000000000000002</v>
      </c>
      <c r="S13" s="15">
        <v>14</v>
      </c>
      <c r="T13" s="15">
        <v>8</v>
      </c>
      <c r="U13" s="15">
        <v>13.000000000000002</v>
      </c>
      <c r="V13" s="15">
        <v>13.000000000000002</v>
      </c>
      <c r="W13" s="15">
        <v>10</v>
      </c>
      <c r="X13" s="15">
        <v>12</v>
      </c>
      <c r="Y13" s="15">
        <v>12</v>
      </c>
      <c r="Z13" s="15">
        <v>12</v>
      </c>
      <c r="AA13" s="15">
        <v>11</v>
      </c>
      <c r="AB13" s="15">
        <v>10</v>
      </c>
      <c r="AC13" s="15">
        <v>13.000000000000002</v>
      </c>
      <c r="AD13" s="15">
        <v>12</v>
      </c>
      <c r="AE13" s="15">
        <v>15</v>
      </c>
      <c r="AF13" s="15">
        <v>10</v>
      </c>
      <c r="AG13" s="15">
        <v>12</v>
      </c>
      <c r="AH13" s="15">
        <v>12</v>
      </c>
      <c r="AI13" s="15">
        <v>13.000000000000002</v>
      </c>
      <c r="AJ13" s="15">
        <v>14</v>
      </c>
      <c r="AK13" s="15">
        <v>17</v>
      </c>
      <c r="AL13" s="15">
        <v>12</v>
      </c>
      <c r="AM13" s="15">
        <v>18</v>
      </c>
      <c r="AN13" s="15">
        <v>20.999999999999996</v>
      </c>
      <c r="AO13" s="15">
        <v>10</v>
      </c>
      <c r="AP13" s="15">
        <v>8</v>
      </c>
      <c r="AQ13" s="15">
        <v>12</v>
      </c>
      <c r="AR13" s="15">
        <v>15</v>
      </c>
      <c r="AS13" s="15">
        <v>14</v>
      </c>
      <c r="AT13" s="16">
        <v>13.000000000000002</v>
      </c>
    </row>
    <row r="14" spans="1:46" x14ac:dyDescent="0.25">
      <c r="A14">
        <v>11</v>
      </c>
      <c r="B14" s="1" t="s">
        <v>10</v>
      </c>
      <c r="C14" s="14">
        <v>14</v>
      </c>
      <c r="D14" s="15">
        <v>6</v>
      </c>
      <c r="E14" s="15">
        <v>13.000000000000002</v>
      </c>
      <c r="F14" s="15">
        <v>12</v>
      </c>
      <c r="G14" s="15">
        <v>13.000000000000002</v>
      </c>
      <c r="H14" s="15">
        <v>13.000000000000002</v>
      </c>
      <c r="I14" s="15">
        <v>14</v>
      </c>
      <c r="J14" s="15">
        <v>13.000000000000002</v>
      </c>
      <c r="K14" s="15">
        <v>16</v>
      </c>
      <c r="L14" s="15">
        <v>4</v>
      </c>
      <c r="M14" s="15">
        <v>0</v>
      </c>
      <c r="N14" s="15">
        <v>24</v>
      </c>
      <c r="O14" s="15">
        <v>15</v>
      </c>
      <c r="P14" s="15">
        <v>13.000000000000002</v>
      </c>
      <c r="Q14" s="15">
        <v>11</v>
      </c>
      <c r="R14" s="15">
        <v>14</v>
      </c>
      <c r="S14" s="15">
        <v>15</v>
      </c>
      <c r="T14" s="15">
        <v>9</v>
      </c>
      <c r="U14" s="15">
        <v>14</v>
      </c>
      <c r="V14" s="15">
        <v>14</v>
      </c>
      <c r="W14" s="15">
        <v>11</v>
      </c>
      <c r="X14" s="15">
        <v>12</v>
      </c>
      <c r="Y14" s="15">
        <v>12</v>
      </c>
      <c r="Z14" s="15">
        <v>13.000000000000002</v>
      </c>
      <c r="AA14" s="15">
        <v>12</v>
      </c>
      <c r="AB14" s="15">
        <v>7</v>
      </c>
      <c r="AC14" s="15">
        <v>14</v>
      </c>
      <c r="AD14" s="15">
        <v>13.000000000000002</v>
      </c>
      <c r="AE14" s="15">
        <v>16</v>
      </c>
      <c r="AF14" s="15">
        <v>11</v>
      </c>
      <c r="AG14" s="15">
        <v>10</v>
      </c>
      <c r="AH14" s="15">
        <v>13.000000000000002</v>
      </c>
      <c r="AI14" s="15">
        <v>14</v>
      </c>
      <c r="AJ14" s="15">
        <v>15</v>
      </c>
      <c r="AK14" s="15">
        <v>17</v>
      </c>
      <c r="AL14" s="15">
        <v>13.000000000000002</v>
      </c>
      <c r="AM14" s="15">
        <v>18</v>
      </c>
      <c r="AN14" s="15">
        <v>22</v>
      </c>
      <c r="AO14" s="15">
        <v>10</v>
      </c>
      <c r="AP14" s="15">
        <v>8</v>
      </c>
      <c r="AQ14" s="15">
        <v>13.000000000000002</v>
      </c>
      <c r="AR14" s="15">
        <v>15</v>
      </c>
      <c r="AS14" s="15">
        <v>15</v>
      </c>
      <c r="AT14" s="16">
        <v>14</v>
      </c>
    </row>
    <row r="15" spans="1:46" x14ac:dyDescent="0.25">
      <c r="A15">
        <v>12</v>
      </c>
      <c r="B15" s="1" t="s">
        <v>11</v>
      </c>
      <c r="C15" s="14">
        <v>20</v>
      </c>
      <c r="D15" s="15">
        <v>24</v>
      </c>
      <c r="E15" s="15">
        <v>19</v>
      </c>
      <c r="F15" s="15">
        <v>16</v>
      </c>
      <c r="G15" s="15">
        <v>17</v>
      </c>
      <c r="H15" s="15">
        <v>17</v>
      </c>
      <c r="I15" s="15">
        <v>24</v>
      </c>
      <c r="J15" s="15">
        <v>18</v>
      </c>
      <c r="K15" s="15">
        <v>12</v>
      </c>
      <c r="L15" s="15">
        <v>24</v>
      </c>
      <c r="M15" s="15">
        <v>24</v>
      </c>
      <c r="N15" s="15">
        <v>0</v>
      </c>
      <c r="O15" s="15">
        <v>20.999999999999996</v>
      </c>
      <c r="P15" s="15">
        <v>20</v>
      </c>
      <c r="Q15" s="15">
        <v>18</v>
      </c>
      <c r="R15" s="15">
        <v>18</v>
      </c>
      <c r="S15" s="15">
        <v>19</v>
      </c>
      <c r="T15" s="15">
        <v>16</v>
      </c>
      <c r="U15" s="15">
        <v>17</v>
      </c>
      <c r="V15" s="15">
        <v>17</v>
      </c>
      <c r="W15" s="15">
        <v>15</v>
      </c>
      <c r="X15" s="15">
        <v>16</v>
      </c>
      <c r="Y15" s="15">
        <v>16</v>
      </c>
      <c r="Z15" s="15">
        <v>20</v>
      </c>
      <c r="AA15" s="15">
        <v>18</v>
      </c>
      <c r="AB15" s="15">
        <v>22</v>
      </c>
      <c r="AC15" s="15">
        <v>20</v>
      </c>
      <c r="AD15" s="15">
        <v>17</v>
      </c>
      <c r="AE15" s="15">
        <v>20</v>
      </c>
      <c r="AF15" s="15">
        <v>18</v>
      </c>
      <c r="AG15" s="15">
        <v>19</v>
      </c>
      <c r="AH15" s="15">
        <v>20</v>
      </c>
      <c r="AI15" s="15">
        <v>18</v>
      </c>
      <c r="AJ15" s="15">
        <v>20.999999999999996</v>
      </c>
      <c r="AK15" s="15">
        <v>20.999999999999996</v>
      </c>
      <c r="AL15" s="15">
        <v>19</v>
      </c>
      <c r="AM15" s="15">
        <v>14</v>
      </c>
      <c r="AN15" s="15">
        <v>12</v>
      </c>
      <c r="AO15" s="15">
        <v>17</v>
      </c>
      <c r="AP15" s="15">
        <v>17</v>
      </c>
      <c r="AQ15" s="15">
        <v>17</v>
      </c>
      <c r="AR15" s="15">
        <v>22</v>
      </c>
      <c r="AS15" s="15">
        <v>20.999999999999996</v>
      </c>
      <c r="AT15" s="16">
        <v>20</v>
      </c>
    </row>
    <row r="16" spans="1:46" x14ac:dyDescent="0.25">
      <c r="A16">
        <v>13</v>
      </c>
      <c r="B16" s="1" t="s">
        <v>12</v>
      </c>
      <c r="C16" s="14">
        <v>6</v>
      </c>
      <c r="D16" s="15">
        <v>18</v>
      </c>
      <c r="E16" s="15">
        <v>8</v>
      </c>
      <c r="F16" s="15">
        <v>8</v>
      </c>
      <c r="G16" s="15">
        <v>8</v>
      </c>
      <c r="H16" s="15">
        <v>6</v>
      </c>
      <c r="I16" s="15">
        <v>9</v>
      </c>
      <c r="J16" s="15">
        <v>12</v>
      </c>
      <c r="K16" s="15">
        <v>13.000000000000002</v>
      </c>
      <c r="L16" s="15">
        <v>17</v>
      </c>
      <c r="M16" s="15">
        <v>18</v>
      </c>
      <c r="N16" s="15">
        <v>22</v>
      </c>
      <c r="O16" s="15">
        <v>0</v>
      </c>
      <c r="P16" s="15">
        <v>9</v>
      </c>
      <c r="Q16" s="15">
        <v>10</v>
      </c>
      <c r="R16" s="15">
        <v>9</v>
      </c>
      <c r="S16" s="15">
        <v>6</v>
      </c>
      <c r="T16" s="15">
        <v>9</v>
      </c>
      <c r="U16" s="15">
        <v>6</v>
      </c>
      <c r="V16" s="15">
        <v>10</v>
      </c>
      <c r="W16" s="15">
        <v>7</v>
      </c>
      <c r="X16" s="15">
        <v>9</v>
      </c>
      <c r="Y16" s="15">
        <v>7</v>
      </c>
      <c r="Z16" s="15">
        <v>8</v>
      </c>
      <c r="AA16" s="15">
        <v>7</v>
      </c>
      <c r="AB16" s="15">
        <v>10</v>
      </c>
      <c r="AC16" s="15">
        <v>9</v>
      </c>
      <c r="AD16" s="15">
        <v>6</v>
      </c>
      <c r="AE16" s="15">
        <v>11</v>
      </c>
      <c r="AF16" s="15">
        <v>10</v>
      </c>
      <c r="AG16" s="15">
        <v>7</v>
      </c>
      <c r="AH16" s="15">
        <v>9</v>
      </c>
      <c r="AI16" s="15">
        <v>8</v>
      </c>
      <c r="AJ16" s="15">
        <v>10</v>
      </c>
      <c r="AK16" s="15">
        <v>13.000000000000002</v>
      </c>
      <c r="AL16" s="15">
        <v>8</v>
      </c>
      <c r="AM16" s="15">
        <v>17</v>
      </c>
      <c r="AN16" s="15">
        <v>20.999999999999996</v>
      </c>
      <c r="AO16" s="15">
        <v>8</v>
      </c>
      <c r="AP16" s="15">
        <v>17</v>
      </c>
      <c r="AQ16" s="15">
        <v>7</v>
      </c>
      <c r="AR16" s="15">
        <v>11</v>
      </c>
      <c r="AS16" s="15">
        <v>5</v>
      </c>
      <c r="AT16" s="16">
        <v>9</v>
      </c>
    </row>
    <row r="17" spans="1:46" x14ac:dyDescent="0.25">
      <c r="A17">
        <v>14</v>
      </c>
      <c r="B17" s="1" t="s">
        <v>13</v>
      </c>
      <c r="C17" s="14">
        <v>3</v>
      </c>
      <c r="D17" s="15">
        <v>14</v>
      </c>
      <c r="E17" s="15">
        <v>0</v>
      </c>
      <c r="F17" s="15">
        <v>8</v>
      </c>
      <c r="G17" s="15">
        <v>4</v>
      </c>
      <c r="H17" s="15">
        <v>6</v>
      </c>
      <c r="I17" s="15">
        <v>10</v>
      </c>
      <c r="J17" s="15">
        <v>8</v>
      </c>
      <c r="K17" s="15">
        <v>12</v>
      </c>
      <c r="L17" s="15">
        <v>13.000000000000002</v>
      </c>
      <c r="M17" s="15">
        <v>14</v>
      </c>
      <c r="N17" s="15">
        <v>20</v>
      </c>
      <c r="O17" s="15">
        <v>5</v>
      </c>
      <c r="P17" s="15">
        <v>0</v>
      </c>
      <c r="Q17" s="15">
        <v>7</v>
      </c>
      <c r="R17" s="15">
        <v>3</v>
      </c>
      <c r="S17" s="15">
        <v>6</v>
      </c>
      <c r="T17" s="15">
        <v>6</v>
      </c>
      <c r="U17" s="15">
        <v>6</v>
      </c>
      <c r="V17" s="15">
        <v>9</v>
      </c>
      <c r="W17" s="15">
        <v>6</v>
      </c>
      <c r="X17" s="15">
        <v>8</v>
      </c>
      <c r="Y17" s="15">
        <v>7</v>
      </c>
      <c r="Z17" s="15">
        <v>2</v>
      </c>
      <c r="AA17" s="15">
        <v>1</v>
      </c>
      <c r="AB17" s="15">
        <v>8</v>
      </c>
      <c r="AC17" s="15">
        <v>2</v>
      </c>
      <c r="AD17" s="15">
        <v>6</v>
      </c>
      <c r="AE17" s="15">
        <v>6</v>
      </c>
      <c r="AF17" s="15">
        <v>6</v>
      </c>
      <c r="AG17" s="15">
        <v>5</v>
      </c>
      <c r="AH17" s="15">
        <v>0</v>
      </c>
      <c r="AI17" s="15">
        <v>8</v>
      </c>
      <c r="AJ17" s="15">
        <v>4</v>
      </c>
      <c r="AK17" s="15">
        <v>13.000000000000002</v>
      </c>
      <c r="AL17" s="15">
        <v>0</v>
      </c>
      <c r="AM17" s="15">
        <v>15</v>
      </c>
      <c r="AN17" s="15">
        <v>19</v>
      </c>
      <c r="AO17" s="15">
        <v>5</v>
      </c>
      <c r="AP17" s="15">
        <v>13.000000000000002</v>
      </c>
      <c r="AQ17" s="15">
        <v>7</v>
      </c>
      <c r="AR17" s="15">
        <v>4</v>
      </c>
      <c r="AS17" s="15">
        <v>5</v>
      </c>
      <c r="AT17" s="16">
        <v>2</v>
      </c>
    </row>
    <row r="18" spans="1:46" x14ac:dyDescent="0.25">
      <c r="A18">
        <v>15</v>
      </c>
      <c r="B18" s="1" t="s">
        <v>14</v>
      </c>
      <c r="C18" s="14">
        <v>6</v>
      </c>
      <c r="D18" s="15">
        <v>11</v>
      </c>
      <c r="E18" s="15">
        <v>5</v>
      </c>
      <c r="F18" s="15">
        <v>7</v>
      </c>
      <c r="G18" s="15">
        <v>8</v>
      </c>
      <c r="H18" s="15">
        <v>8</v>
      </c>
      <c r="I18" s="15">
        <v>10</v>
      </c>
      <c r="J18" s="15">
        <v>2</v>
      </c>
      <c r="K18" s="15">
        <v>11</v>
      </c>
      <c r="L18" s="15">
        <v>11</v>
      </c>
      <c r="M18" s="15">
        <v>11</v>
      </c>
      <c r="N18" s="15">
        <v>18</v>
      </c>
      <c r="O18" s="15">
        <v>7</v>
      </c>
      <c r="P18" s="15">
        <v>5</v>
      </c>
      <c r="Q18" s="15">
        <v>0</v>
      </c>
      <c r="R18" s="15">
        <v>7</v>
      </c>
      <c r="S18" s="15">
        <v>10</v>
      </c>
      <c r="T18" s="15">
        <v>3</v>
      </c>
      <c r="U18" s="15">
        <v>8</v>
      </c>
      <c r="V18" s="15">
        <v>8</v>
      </c>
      <c r="W18" s="15">
        <v>6</v>
      </c>
      <c r="X18" s="15">
        <v>7</v>
      </c>
      <c r="Y18" s="15">
        <v>7</v>
      </c>
      <c r="Z18" s="15">
        <v>5</v>
      </c>
      <c r="AA18" s="15">
        <v>4</v>
      </c>
      <c r="AB18" s="15">
        <v>8</v>
      </c>
      <c r="AC18" s="15">
        <v>6</v>
      </c>
      <c r="AD18" s="15">
        <v>8</v>
      </c>
      <c r="AE18" s="15">
        <v>9</v>
      </c>
      <c r="AF18" s="15">
        <v>1</v>
      </c>
      <c r="AG18" s="15">
        <v>4</v>
      </c>
      <c r="AH18" s="15">
        <v>5</v>
      </c>
      <c r="AI18" s="15">
        <v>9</v>
      </c>
      <c r="AJ18" s="15">
        <v>7</v>
      </c>
      <c r="AK18" s="15">
        <v>12</v>
      </c>
      <c r="AL18" s="15">
        <v>5</v>
      </c>
      <c r="AM18" s="15">
        <v>13.000000000000002</v>
      </c>
      <c r="AN18" s="15">
        <v>17</v>
      </c>
      <c r="AO18" s="15">
        <v>2</v>
      </c>
      <c r="AP18" s="15">
        <v>11</v>
      </c>
      <c r="AQ18" s="15">
        <v>8</v>
      </c>
      <c r="AR18" s="15">
        <v>8</v>
      </c>
      <c r="AS18" s="15">
        <v>7</v>
      </c>
      <c r="AT18" s="16">
        <v>6</v>
      </c>
    </row>
    <row r="19" spans="1:46" x14ac:dyDescent="0.25">
      <c r="A19">
        <v>16</v>
      </c>
      <c r="B19" s="1" t="s">
        <v>15</v>
      </c>
      <c r="C19" s="14">
        <v>3</v>
      </c>
      <c r="D19" s="15">
        <v>14</v>
      </c>
      <c r="E19" s="15">
        <v>2</v>
      </c>
      <c r="F19" s="15">
        <v>7</v>
      </c>
      <c r="G19" s="15">
        <v>4</v>
      </c>
      <c r="H19" s="15">
        <v>7</v>
      </c>
      <c r="I19" s="15">
        <v>10</v>
      </c>
      <c r="J19" s="15">
        <v>8</v>
      </c>
      <c r="K19" s="15">
        <v>11</v>
      </c>
      <c r="L19" s="15">
        <v>13.000000000000002</v>
      </c>
      <c r="M19" s="15">
        <v>14</v>
      </c>
      <c r="N19" s="15">
        <v>20</v>
      </c>
      <c r="O19" s="15">
        <v>5</v>
      </c>
      <c r="P19" s="15">
        <v>2</v>
      </c>
      <c r="Q19" s="15">
        <v>6</v>
      </c>
      <c r="R19" s="15">
        <v>0</v>
      </c>
      <c r="S19" s="15">
        <v>7</v>
      </c>
      <c r="T19" s="15">
        <v>5</v>
      </c>
      <c r="U19" s="15">
        <v>6</v>
      </c>
      <c r="V19" s="15">
        <v>8</v>
      </c>
      <c r="W19" s="15">
        <v>5</v>
      </c>
      <c r="X19" s="15">
        <v>7</v>
      </c>
      <c r="Y19" s="15">
        <v>7</v>
      </c>
      <c r="Z19" s="15">
        <v>2</v>
      </c>
      <c r="AA19" s="15">
        <v>1</v>
      </c>
      <c r="AB19" s="15">
        <v>8</v>
      </c>
      <c r="AC19" s="15">
        <v>2</v>
      </c>
      <c r="AD19" s="15">
        <v>6</v>
      </c>
      <c r="AE19" s="15">
        <v>5</v>
      </c>
      <c r="AF19" s="15">
        <v>5</v>
      </c>
      <c r="AG19" s="15">
        <v>4</v>
      </c>
      <c r="AH19" s="15">
        <v>2</v>
      </c>
      <c r="AI19" s="15">
        <v>8</v>
      </c>
      <c r="AJ19" s="15">
        <v>3</v>
      </c>
      <c r="AK19" s="15">
        <v>12</v>
      </c>
      <c r="AL19" s="15">
        <v>2</v>
      </c>
      <c r="AM19" s="15">
        <v>15</v>
      </c>
      <c r="AN19" s="15">
        <v>18</v>
      </c>
      <c r="AO19" s="15">
        <v>4</v>
      </c>
      <c r="AP19" s="15">
        <v>13.000000000000002</v>
      </c>
      <c r="AQ19" s="15">
        <v>6</v>
      </c>
      <c r="AR19" s="15">
        <v>4</v>
      </c>
      <c r="AS19" s="15">
        <v>5</v>
      </c>
      <c r="AT19" s="16">
        <v>2</v>
      </c>
    </row>
    <row r="20" spans="1:46" x14ac:dyDescent="0.25">
      <c r="A20">
        <v>17</v>
      </c>
      <c r="B20" s="1" t="s">
        <v>16</v>
      </c>
      <c r="C20" s="14">
        <v>4</v>
      </c>
      <c r="D20" s="15">
        <v>16</v>
      </c>
      <c r="E20" s="15">
        <v>7</v>
      </c>
      <c r="F20" s="15">
        <v>5</v>
      </c>
      <c r="G20" s="15">
        <v>4</v>
      </c>
      <c r="H20" s="15">
        <v>2</v>
      </c>
      <c r="I20" s="15">
        <v>8</v>
      </c>
      <c r="J20" s="15">
        <v>9</v>
      </c>
      <c r="K20" s="15">
        <v>10</v>
      </c>
      <c r="L20" s="15">
        <v>15</v>
      </c>
      <c r="M20" s="15">
        <v>16</v>
      </c>
      <c r="N20" s="15">
        <v>19</v>
      </c>
      <c r="O20" s="15">
        <v>5</v>
      </c>
      <c r="P20" s="15">
        <v>7</v>
      </c>
      <c r="Q20" s="15">
        <v>8</v>
      </c>
      <c r="R20" s="15">
        <v>6</v>
      </c>
      <c r="S20" s="15">
        <v>0</v>
      </c>
      <c r="T20" s="15">
        <v>6</v>
      </c>
      <c r="U20" s="15">
        <v>3</v>
      </c>
      <c r="V20" s="15">
        <v>7</v>
      </c>
      <c r="W20" s="15">
        <v>4</v>
      </c>
      <c r="X20" s="15">
        <v>6</v>
      </c>
      <c r="Y20" s="15">
        <v>4</v>
      </c>
      <c r="Z20" s="15">
        <v>6</v>
      </c>
      <c r="AA20" s="15">
        <v>6</v>
      </c>
      <c r="AB20" s="15">
        <v>9</v>
      </c>
      <c r="AC20" s="15">
        <v>7</v>
      </c>
      <c r="AD20" s="15">
        <v>2</v>
      </c>
      <c r="AE20" s="15">
        <v>8</v>
      </c>
      <c r="AF20" s="15">
        <v>8</v>
      </c>
      <c r="AG20" s="15">
        <v>5</v>
      </c>
      <c r="AH20" s="15">
        <v>7</v>
      </c>
      <c r="AI20" s="15">
        <v>5</v>
      </c>
      <c r="AJ20" s="15">
        <v>9</v>
      </c>
      <c r="AK20" s="15">
        <v>8</v>
      </c>
      <c r="AL20" s="15">
        <v>6</v>
      </c>
      <c r="AM20" s="15">
        <v>14</v>
      </c>
      <c r="AN20" s="15">
        <v>18</v>
      </c>
      <c r="AO20" s="15">
        <v>7</v>
      </c>
      <c r="AP20" s="15">
        <v>14</v>
      </c>
      <c r="AQ20" s="15">
        <v>4</v>
      </c>
      <c r="AR20" s="15">
        <v>9</v>
      </c>
      <c r="AS20" s="15">
        <v>4</v>
      </c>
      <c r="AT20" s="16">
        <v>7</v>
      </c>
    </row>
    <row r="21" spans="1:46" x14ac:dyDescent="0.25">
      <c r="A21">
        <v>18</v>
      </c>
      <c r="B21" s="1" t="s">
        <v>17</v>
      </c>
      <c r="C21" s="14">
        <v>5</v>
      </c>
      <c r="D21" s="15">
        <v>9</v>
      </c>
      <c r="E21" s="15">
        <v>4</v>
      </c>
      <c r="F21" s="15">
        <v>5</v>
      </c>
      <c r="G21" s="15">
        <v>6</v>
      </c>
      <c r="H21" s="15">
        <v>6</v>
      </c>
      <c r="I21" s="15">
        <v>8</v>
      </c>
      <c r="J21" s="15">
        <v>4</v>
      </c>
      <c r="K21" s="15">
        <v>9</v>
      </c>
      <c r="L21" s="15">
        <v>8</v>
      </c>
      <c r="M21" s="15">
        <v>9</v>
      </c>
      <c r="N21" s="15">
        <v>16</v>
      </c>
      <c r="O21" s="15">
        <v>6</v>
      </c>
      <c r="P21" s="15">
        <v>4</v>
      </c>
      <c r="Q21" s="15">
        <v>2</v>
      </c>
      <c r="R21" s="15">
        <v>5</v>
      </c>
      <c r="S21" s="15">
        <v>8</v>
      </c>
      <c r="T21" s="15">
        <v>0</v>
      </c>
      <c r="U21" s="15">
        <v>6</v>
      </c>
      <c r="V21" s="15">
        <v>6</v>
      </c>
      <c r="W21" s="15">
        <v>4</v>
      </c>
      <c r="X21" s="15">
        <v>5</v>
      </c>
      <c r="Y21" s="15">
        <v>5</v>
      </c>
      <c r="Z21" s="15">
        <v>4</v>
      </c>
      <c r="AA21" s="15">
        <v>3</v>
      </c>
      <c r="AB21" s="15">
        <v>6</v>
      </c>
      <c r="AC21" s="15">
        <v>4</v>
      </c>
      <c r="AD21" s="15">
        <v>6</v>
      </c>
      <c r="AE21" s="15">
        <v>8</v>
      </c>
      <c r="AF21" s="15">
        <v>2</v>
      </c>
      <c r="AG21" s="15">
        <v>3</v>
      </c>
      <c r="AH21" s="15">
        <v>4</v>
      </c>
      <c r="AI21" s="15">
        <v>7</v>
      </c>
      <c r="AJ21" s="15">
        <v>6</v>
      </c>
      <c r="AK21" s="15">
        <v>10</v>
      </c>
      <c r="AL21" s="15">
        <v>4</v>
      </c>
      <c r="AM21" s="15">
        <v>11</v>
      </c>
      <c r="AN21" s="15">
        <v>15</v>
      </c>
      <c r="AO21" s="15">
        <v>1</v>
      </c>
      <c r="AP21" s="15">
        <v>8</v>
      </c>
      <c r="AQ21" s="15">
        <v>6</v>
      </c>
      <c r="AR21" s="15">
        <v>6</v>
      </c>
      <c r="AS21" s="15">
        <v>6</v>
      </c>
      <c r="AT21" s="16">
        <v>4</v>
      </c>
    </row>
    <row r="22" spans="1:46" x14ac:dyDescent="0.25">
      <c r="A22">
        <v>19</v>
      </c>
      <c r="B22" s="1" t="s">
        <v>18</v>
      </c>
      <c r="C22" s="14">
        <v>5</v>
      </c>
      <c r="D22" s="15">
        <v>13.000000000000002</v>
      </c>
      <c r="E22" s="15">
        <v>6</v>
      </c>
      <c r="F22" s="15">
        <v>2</v>
      </c>
      <c r="G22" s="15">
        <v>2</v>
      </c>
      <c r="H22" s="15">
        <v>2</v>
      </c>
      <c r="I22" s="15">
        <v>9</v>
      </c>
      <c r="J22" s="15">
        <v>7</v>
      </c>
      <c r="K22" s="15">
        <v>8</v>
      </c>
      <c r="L22" s="15">
        <v>13.000000000000002</v>
      </c>
      <c r="M22" s="15">
        <v>13.000000000000002</v>
      </c>
      <c r="N22" s="15">
        <v>17</v>
      </c>
      <c r="O22" s="15">
        <v>6</v>
      </c>
      <c r="P22" s="15">
        <v>6</v>
      </c>
      <c r="Q22" s="15">
        <v>6</v>
      </c>
      <c r="R22" s="15">
        <v>4</v>
      </c>
      <c r="S22" s="15">
        <v>3</v>
      </c>
      <c r="T22" s="15">
        <v>4</v>
      </c>
      <c r="U22" s="15">
        <v>0</v>
      </c>
      <c r="V22" s="15">
        <v>5</v>
      </c>
      <c r="W22" s="15">
        <v>2</v>
      </c>
      <c r="X22" s="15">
        <v>4</v>
      </c>
      <c r="Y22" s="15">
        <v>2</v>
      </c>
      <c r="Z22" s="15">
        <v>6</v>
      </c>
      <c r="AA22" s="15">
        <v>4</v>
      </c>
      <c r="AB22" s="15">
        <v>9</v>
      </c>
      <c r="AC22" s="15">
        <v>5</v>
      </c>
      <c r="AD22" s="15">
        <v>1</v>
      </c>
      <c r="AE22" s="15">
        <v>5</v>
      </c>
      <c r="AF22" s="15">
        <v>6</v>
      </c>
      <c r="AG22" s="15">
        <v>6</v>
      </c>
      <c r="AH22" s="15">
        <v>6</v>
      </c>
      <c r="AI22" s="15">
        <v>3</v>
      </c>
      <c r="AJ22" s="15">
        <v>7</v>
      </c>
      <c r="AK22" s="15">
        <v>8</v>
      </c>
      <c r="AL22" s="15">
        <v>6</v>
      </c>
      <c r="AM22" s="15">
        <v>12</v>
      </c>
      <c r="AN22" s="15">
        <v>15</v>
      </c>
      <c r="AO22" s="15">
        <v>6</v>
      </c>
      <c r="AP22" s="15">
        <v>12</v>
      </c>
      <c r="AQ22" s="15">
        <v>2</v>
      </c>
      <c r="AR22" s="15">
        <v>7</v>
      </c>
      <c r="AS22" s="15">
        <v>5</v>
      </c>
      <c r="AT22" s="16">
        <v>5</v>
      </c>
    </row>
    <row r="23" spans="1:46" x14ac:dyDescent="0.25">
      <c r="A23">
        <v>20</v>
      </c>
      <c r="B23" s="1" t="s">
        <v>19</v>
      </c>
      <c r="C23" s="14">
        <v>8</v>
      </c>
      <c r="D23" s="15">
        <v>15</v>
      </c>
      <c r="E23" s="15">
        <v>8</v>
      </c>
      <c r="F23" s="15">
        <v>3</v>
      </c>
      <c r="G23" s="15">
        <v>4</v>
      </c>
      <c r="H23" s="15">
        <v>5</v>
      </c>
      <c r="I23" s="15">
        <v>12</v>
      </c>
      <c r="J23" s="15">
        <v>9</v>
      </c>
      <c r="K23" s="15">
        <v>5</v>
      </c>
      <c r="L23" s="15">
        <v>14</v>
      </c>
      <c r="M23" s="15">
        <v>15</v>
      </c>
      <c r="N23" s="15">
        <v>16</v>
      </c>
      <c r="O23" s="15">
        <v>9</v>
      </c>
      <c r="P23" s="15">
        <v>8</v>
      </c>
      <c r="Q23" s="15">
        <v>8</v>
      </c>
      <c r="R23" s="15">
        <v>5</v>
      </c>
      <c r="S23" s="15">
        <v>7</v>
      </c>
      <c r="T23" s="15">
        <v>6</v>
      </c>
      <c r="U23" s="15">
        <v>5</v>
      </c>
      <c r="V23" s="15">
        <v>0</v>
      </c>
      <c r="W23" s="15">
        <v>4</v>
      </c>
      <c r="X23" s="15">
        <v>2</v>
      </c>
      <c r="Y23" s="15">
        <v>3</v>
      </c>
      <c r="Z23" s="15">
        <v>8</v>
      </c>
      <c r="AA23" s="15">
        <v>6</v>
      </c>
      <c r="AB23" s="15">
        <v>13.000000000000002</v>
      </c>
      <c r="AC23" s="15">
        <v>7</v>
      </c>
      <c r="AD23" s="15">
        <v>4</v>
      </c>
      <c r="AE23" s="15">
        <v>7</v>
      </c>
      <c r="AF23" s="15">
        <v>8</v>
      </c>
      <c r="AG23" s="15">
        <v>9</v>
      </c>
      <c r="AH23" s="15">
        <v>8</v>
      </c>
      <c r="AI23" s="15">
        <v>4</v>
      </c>
      <c r="AJ23" s="15">
        <v>9</v>
      </c>
      <c r="AK23" s="15">
        <v>7</v>
      </c>
      <c r="AL23" s="15">
        <v>7</v>
      </c>
      <c r="AM23" s="15">
        <v>13.000000000000002</v>
      </c>
      <c r="AN23" s="15">
        <v>17</v>
      </c>
      <c r="AO23" s="15">
        <v>7</v>
      </c>
      <c r="AP23" s="15">
        <v>14</v>
      </c>
      <c r="AQ23" s="15">
        <v>4</v>
      </c>
      <c r="AR23" s="15">
        <v>9</v>
      </c>
      <c r="AS23" s="15">
        <v>8</v>
      </c>
      <c r="AT23" s="16">
        <v>7</v>
      </c>
    </row>
    <row r="24" spans="1:46" x14ac:dyDescent="0.25">
      <c r="A24">
        <v>21</v>
      </c>
      <c r="B24" s="1" t="s">
        <v>20</v>
      </c>
      <c r="C24" s="14">
        <v>6</v>
      </c>
      <c r="D24" s="15">
        <v>12</v>
      </c>
      <c r="E24" s="15">
        <v>5</v>
      </c>
      <c r="F24" s="15">
        <v>2</v>
      </c>
      <c r="G24" s="15">
        <v>2</v>
      </c>
      <c r="H24" s="15">
        <v>2</v>
      </c>
      <c r="I24" s="15">
        <v>10</v>
      </c>
      <c r="J24" s="15">
        <v>5</v>
      </c>
      <c r="K24" s="15">
        <v>6</v>
      </c>
      <c r="L24" s="15">
        <v>11</v>
      </c>
      <c r="M24" s="15">
        <v>12</v>
      </c>
      <c r="N24" s="15">
        <v>15</v>
      </c>
      <c r="O24" s="15">
        <v>6</v>
      </c>
      <c r="P24" s="15">
        <v>6</v>
      </c>
      <c r="Q24" s="15">
        <v>5</v>
      </c>
      <c r="R24" s="15">
        <v>3</v>
      </c>
      <c r="S24" s="15">
        <v>4</v>
      </c>
      <c r="T24" s="15">
        <v>2</v>
      </c>
      <c r="U24" s="15">
        <v>2</v>
      </c>
      <c r="V24" s="15">
        <v>3</v>
      </c>
      <c r="W24" s="15">
        <v>0</v>
      </c>
      <c r="X24" s="15">
        <v>2</v>
      </c>
      <c r="Y24" s="15">
        <v>2</v>
      </c>
      <c r="Z24" s="15">
        <v>5</v>
      </c>
      <c r="AA24" s="15">
        <v>4</v>
      </c>
      <c r="AB24" s="15">
        <v>9</v>
      </c>
      <c r="AC24" s="15">
        <v>5</v>
      </c>
      <c r="AD24" s="15">
        <v>2</v>
      </c>
      <c r="AE24" s="15">
        <v>5</v>
      </c>
      <c r="AF24" s="15">
        <v>5</v>
      </c>
      <c r="AG24" s="15">
        <v>6</v>
      </c>
      <c r="AH24" s="15">
        <v>6</v>
      </c>
      <c r="AI24" s="15">
        <v>4</v>
      </c>
      <c r="AJ24" s="15">
        <v>6</v>
      </c>
      <c r="AK24" s="15">
        <v>7</v>
      </c>
      <c r="AL24" s="15">
        <v>5</v>
      </c>
      <c r="AM24" s="15">
        <v>10</v>
      </c>
      <c r="AN24" s="15">
        <v>14</v>
      </c>
      <c r="AO24" s="15">
        <v>4</v>
      </c>
      <c r="AP24" s="15">
        <v>10</v>
      </c>
      <c r="AQ24" s="15">
        <v>2</v>
      </c>
      <c r="AR24" s="15">
        <v>7</v>
      </c>
      <c r="AS24" s="15">
        <v>6</v>
      </c>
      <c r="AT24" s="16">
        <v>5</v>
      </c>
    </row>
    <row r="25" spans="1:46" x14ac:dyDescent="0.25">
      <c r="A25">
        <v>22</v>
      </c>
      <c r="B25" s="1" t="s">
        <v>21</v>
      </c>
      <c r="C25" s="14">
        <v>7</v>
      </c>
      <c r="D25" s="15">
        <v>14</v>
      </c>
      <c r="E25" s="15">
        <v>7</v>
      </c>
      <c r="F25" s="15">
        <v>2</v>
      </c>
      <c r="G25" s="15">
        <v>3</v>
      </c>
      <c r="H25" s="15">
        <v>4</v>
      </c>
      <c r="I25" s="15">
        <v>11</v>
      </c>
      <c r="J25" s="15">
        <v>8</v>
      </c>
      <c r="K25" s="15">
        <v>5</v>
      </c>
      <c r="L25" s="15">
        <v>13.000000000000002</v>
      </c>
      <c r="M25" s="15">
        <v>14</v>
      </c>
      <c r="N25" s="15">
        <v>16</v>
      </c>
      <c r="O25" s="15">
        <v>8</v>
      </c>
      <c r="P25" s="15">
        <v>7</v>
      </c>
      <c r="Q25" s="15">
        <v>7</v>
      </c>
      <c r="R25" s="15">
        <v>4</v>
      </c>
      <c r="S25" s="15">
        <v>6</v>
      </c>
      <c r="T25" s="15">
        <v>5</v>
      </c>
      <c r="U25" s="15">
        <v>4</v>
      </c>
      <c r="V25" s="15">
        <v>2</v>
      </c>
      <c r="W25" s="15">
        <v>2</v>
      </c>
      <c r="X25" s="15">
        <v>0</v>
      </c>
      <c r="Y25" s="15">
        <v>2</v>
      </c>
      <c r="Z25" s="15">
        <v>7</v>
      </c>
      <c r="AA25" s="15">
        <v>5</v>
      </c>
      <c r="AB25" s="15">
        <v>12</v>
      </c>
      <c r="AC25" s="15">
        <v>6</v>
      </c>
      <c r="AD25" s="15">
        <v>3</v>
      </c>
      <c r="AE25" s="15">
        <v>6</v>
      </c>
      <c r="AF25" s="15">
        <v>7</v>
      </c>
      <c r="AG25" s="15">
        <v>8</v>
      </c>
      <c r="AH25" s="15">
        <v>7</v>
      </c>
      <c r="AI25" s="15">
        <v>3</v>
      </c>
      <c r="AJ25" s="15">
        <v>8</v>
      </c>
      <c r="AK25" s="15">
        <v>6</v>
      </c>
      <c r="AL25" s="15">
        <v>6</v>
      </c>
      <c r="AM25" s="15">
        <v>12</v>
      </c>
      <c r="AN25" s="15">
        <v>16</v>
      </c>
      <c r="AO25" s="15">
        <v>6</v>
      </c>
      <c r="AP25" s="15">
        <v>13.000000000000002</v>
      </c>
      <c r="AQ25" s="15">
        <v>2</v>
      </c>
      <c r="AR25" s="15">
        <v>8</v>
      </c>
      <c r="AS25" s="15">
        <v>7</v>
      </c>
      <c r="AT25" s="16">
        <v>6</v>
      </c>
    </row>
    <row r="26" spans="1:46" x14ac:dyDescent="0.25">
      <c r="A26">
        <v>23</v>
      </c>
      <c r="B26" s="1" t="s">
        <v>22</v>
      </c>
      <c r="C26" s="14">
        <v>6</v>
      </c>
      <c r="D26" s="15">
        <v>14</v>
      </c>
      <c r="E26" s="15">
        <v>6</v>
      </c>
      <c r="F26" s="15">
        <v>0</v>
      </c>
      <c r="G26" s="15">
        <v>3</v>
      </c>
      <c r="H26" s="15">
        <v>2</v>
      </c>
      <c r="I26" s="15">
        <v>10</v>
      </c>
      <c r="J26" s="15">
        <v>7</v>
      </c>
      <c r="K26" s="15">
        <v>6</v>
      </c>
      <c r="L26" s="15">
        <v>13.000000000000002</v>
      </c>
      <c r="M26" s="15">
        <v>14</v>
      </c>
      <c r="N26" s="15">
        <v>17</v>
      </c>
      <c r="O26" s="15">
        <v>6</v>
      </c>
      <c r="P26" s="15">
        <v>6</v>
      </c>
      <c r="Q26" s="15">
        <v>7</v>
      </c>
      <c r="R26" s="15">
        <v>4</v>
      </c>
      <c r="S26" s="15">
        <v>4</v>
      </c>
      <c r="T26" s="15">
        <v>5</v>
      </c>
      <c r="U26" s="15">
        <v>2</v>
      </c>
      <c r="V26" s="15">
        <v>3</v>
      </c>
      <c r="W26" s="15">
        <v>2</v>
      </c>
      <c r="X26" s="15">
        <v>2</v>
      </c>
      <c r="Y26" s="15">
        <v>0</v>
      </c>
      <c r="Z26" s="15">
        <v>6</v>
      </c>
      <c r="AA26" s="15">
        <v>5</v>
      </c>
      <c r="AB26" s="15">
        <v>10</v>
      </c>
      <c r="AC26" s="15">
        <v>6</v>
      </c>
      <c r="AD26" s="15">
        <v>2</v>
      </c>
      <c r="AE26" s="15">
        <v>6</v>
      </c>
      <c r="AF26" s="15">
        <v>7</v>
      </c>
      <c r="AG26" s="15">
        <v>7</v>
      </c>
      <c r="AH26" s="15">
        <v>6</v>
      </c>
      <c r="AI26" s="15">
        <v>1</v>
      </c>
      <c r="AJ26" s="15">
        <v>7</v>
      </c>
      <c r="AK26" s="15">
        <v>7</v>
      </c>
      <c r="AL26" s="15">
        <v>6</v>
      </c>
      <c r="AM26" s="15">
        <v>12</v>
      </c>
      <c r="AN26" s="15">
        <v>16</v>
      </c>
      <c r="AO26" s="15">
        <v>6</v>
      </c>
      <c r="AP26" s="15">
        <v>12</v>
      </c>
      <c r="AQ26" s="15">
        <v>0</v>
      </c>
      <c r="AR26" s="15">
        <v>8</v>
      </c>
      <c r="AS26" s="15">
        <v>6</v>
      </c>
      <c r="AT26" s="16">
        <v>6</v>
      </c>
    </row>
    <row r="27" spans="1:46" x14ac:dyDescent="0.25">
      <c r="A27">
        <v>24</v>
      </c>
      <c r="B27" s="1" t="s">
        <v>23</v>
      </c>
      <c r="C27" s="14">
        <v>2</v>
      </c>
      <c r="D27" s="15">
        <v>14</v>
      </c>
      <c r="E27" s="15">
        <v>3</v>
      </c>
      <c r="F27" s="15">
        <v>8</v>
      </c>
      <c r="G27" s="15">
        <v>5</v>
      </c>
      <c r="H27" s="15">
        <v>6</v>
      </c>
      <c r="I27" s="15">
        <v>9</v>
      </c>
      <c r="J27" s="15">
        <v>8</v>
      </c>
      <c r="K27" s="15">
        <v>13.000000000000002</v>
      </c>
      <c r="L27" s="15">
        <v>13.000000000000002</v>
      </c>
      <c r="M27" s="15">
        <v>14</v>
      </c>
      <c r="N27" s="15">
        <v>20.999999999999996</v>
      </c>
      <c r="O27" s="15">
        <v>4</v>
      </c>
      <c r="P27" s="15">
        <v>3</v>
      </c>
      <c r="Q27" s="15">
        <v>6</v>
      </c>
      <c r="R27" s="15">
        <v>4</v>
      </c>
      <c r="S27" s="15">
        <v>7</v>
      </c>
      <c r="T27" s="15">
        <v>5</v>
      </c>
      <c r="U27" s="15">
        <v>6</v>
      </c>
      <c r="V27" s="15">
        <v>10</v>
      </c>
      <c r="W27" s="15">
        <v>7</v>
      </c>
      <c r="X27" s="15">
        <v>9</v>
      </c>
      <c r="Y27" s="15">
        <v>7</v>
      </c>
      <c r="Z27" s="15">
        <v>0</v>
      </c>
      <c r="AA27" s="15">
        <v>2</v>
      </c>
      <c r="AB27" s="15">
        <v>8</v>
      </c>
      <c r="AC27" s="15">
        <v>3</v>
      </c>
      <c r="AD27" s="15">
        <v>6</v>
      </c>
      <c r="AE27" s="15">
        <v>7</v>
      </c>
      <c r="AF27" s="15">
        <v>6</v>
      </c>
      <c r="AG27" s="15">
        <v>5</v>
      </c>
      <c r="AH27" s="15">
        <v>3</v>
      </c>
      <c r="AI27" s="15">
        <v>8</v>
      </c>
      <c r="AJ27" s="15">
        <v>5</v>
      </c>
      <c r="AK27" s="15">
        <v>12</v>
      </c>
      <c r="AL27" s="15">
        <v>3</v>
      </c>
      <c r="AM27" s="15">
        <v>16</v>
      </c>
      <c r="AN27" s="15">
        <v>20</v>
      </c>
      <c r="AO27" s="15">
        <v>4</v>
      </c>
      <c r="AP27" s="15">
        <v>13.000000000000002</v>
      </c>
      <c r="AQ27" s="15">
        <v>7</v>
      </c>
      <c r="AR27" s="15">
        <v>5</v>
      </c>
      <c r="AS27" s="15">
        <v>4</v>
      </c>
      <c r="AT27" s="16">
        <v>3</v>
      </c>
    </row>
    <row r="28" spans="1:46" x14ac:dyDescent="0.25">
      <c r="A28">
        <v>25</v>
      </c>
      <c r="B28" s="1" t="s">
        <v>24</v>
      </c>
      <c r="C28" s="14">
        <v>2</v>
      </c>
      <c r="D28" s="15">
        <v>13.000000000000002</v>
      </c>
      <c r="E28" s="15">
        <v>1</v>
      </c>
      <c r="F28" s="15">
        <v>7</v>
      </c>
      <c r="G28" s="15">
        <v>4</v>
      </c>
      <c r="H28" s="15">
        <v>6</v>
      </c>
      <c r="I28" s="15">
        <v>8</v>
      </c>
      <c r="J28" s="15">
        <v>7</v>
      </c>
      <c r="K28" s="15">
        <v>11</v>
      </c>
      <c r="L28" s="15">
        <v>12</v>
      </c>
      <c r="M28" s="15">
        <v>13.000000000000002</v>
      </c>
      <c r="N28" s="15">
        <v>20</v>
      </c>
      <c r="O28" s="15">
        <v>4</v>
      </c>
      <c r="P28" s="15">
        <v>1</v>
      </c>
      <c r="Q28" s="15">
        <v>5</v>
      </c>
      <c r="R28" s="15">
        <v>2</v>
      </c>
      <c r="S28" s="15">
        <v>6</v>
      </c>
      <c r="T28" s="15">
        <v>4</v>
      </c>
      <c r="U28" s="15">
        <v>5</v>
      </c>
      <c r="V28" s="15">
        <v>8</v>
      </c>
      <c r="W28" s="15">
        <v>5</v>
      </c>
      <c r="X28" s="15">
        <v>7</v>
      </c>
      <c r="Y28" s="15">
        <v>6</v>
      </c>
      <c r="Z28" s="15">
        <v>1</v>
      </c>
      <c r="AA28" s="15">
        <v>0</v>
      </c>
      <c r="AB28" s="15">
        <v>7</v>
      </c>
      <c r="AC28" s="15">
        <v>1</v>
      </c>
      <c r="AD28" s="15">
        <v>5</v>
      </c>
      <c r="AE28" s="15">
        <v>5</v>
      </c>
      <c r="AF28" s="15">
        <v>4</v>
      </c>
      <c r="AG28" s="15">
        <v>3</v>
      </c>
      <c r="AH28" s="15">
        <v>1</v>
      </c>
      <c r="AI28" s="15">
        <v>7</v>
      </c>
      <c r="AJ28" s="15">
        <v>3</v>
      </c>
      <c r="AK28" s="15">
        <v>12</v>
      </c>
      <c r="AL28" s="15">
        <v>1</v>
      </c>
      <c r="AM28" s="15">
        <v>14</v>
      </c>
      <c r="AN28" s="15">
        <v>18</v>
      </c>
      <c r="AO28" s="15">
        <v>3</v>
      </c>
      <c r="AP28" s="15">
        <v>12</v>
      </c>
      <c r="AQ28" s="15">
        <v>6</v>
      </c>
      <c r="AR28" s="15">
        <v>3</v>
      </c>
      <c r="AS28" s="15">
        <v>4</v>
      </c>
      <c r="AT28" s="16">
        <v>2</v>
      </c>
    </row>
    <row r="29" spans="1:46" x14ac:dyDescent="0.25">
      <c r="A29">
        <v>26</v>
      </c>
      <c r="B29" s="1" t="s">
        <v>25</v>
      </c>
      <c r="C29" s="14">
        <v>6</v>
      </c>
      <c r="D29" s="15">
        <v>10</v>
      </c>
      <c r="E29" s="15">
        <v>7</v>
      </c>
      <c r="F29" s="15">
        <v>11</v>
      </c>
      <c r="G29" s="15">
        <v>9</v>
      </c>
      <c r="H29" s="15">
        <v>9</v>
      </c>
      <c r="I29" s="15">
        <v>7</v>
      </c>
      <c r="J29" s="15">
        <v>8</v>
      </c>
      <c r="K29" s="15">
        <v>15</v>
      </c>
      <c r="L29" s="15">
        <v>11</v>
      </c>
      <c r="M29" s="15">
        <v>8</v>
      </c>
      <c r="N29" s="15">
        <v>22</v>
      </c>
      <c r="O29" s="15">
        <v>7</v>
      </c>
      <c r="P29" s="15">
        <v>7</v>
      </c>
      <c r="Q29" s="15">
        <v>7</v>
      </c>
      <c r="R29" s="15">
        <v>8</v>
      </c>
      <c r="S29" s="15">
        <v>10</v>
      </c>
      <c r="T29" s="15">
        <v>6</v>
      </c>
      <c r="U29" s="15">
        <v>8</v>
      </c>
      <c r="V29" s="15">
        <v>12</v>
      </c>
      <c r="W29" s="15">
        <v>9</v>
      </c>
      <c r="X29" s="15">
        <v>11</v>
      </c>
      <c r="Y29" s="15">
        <v>10</v>
      </c>
      <c r="Z29" s="15">
        <v>7</v>
      </c>
      <c r="AA29" s="15">
        <v>6</v>
      </c>
      <c r="AB29" s="15">
        <v>0</v>
      </c>
      <c r="AC29" s="15">
        <v>7</v>
      </c>
      <c r="AD29" s="15">
        <v>8</v>
      </c>
      <c r="AE29" s="15">
        <v>11</v>
      </c>
      <c r="AF29" s="15">
        <v>6</v>
      </c>
      <c r="AG29" s="15">
        <v>3</v>
      </c>
      <c r="AH29" s="15">
        <v>7</v>
      </c>
      <c r="AI29" s="15">
        <v>11</v>
      </c>
      <c r="AJ29" s="15">
        <v>9</v>
      </c>
      <c r="AK29" s="15">
        <v>15</v>
      </c>
      <c r="AL29" s="15">
        <v>6</v>
      </c>
      <c r="AM29" s="15">
        <v>17</v>
      </c>
      <c r="AN29" s="15">
        <v>20</v>
      </c>
      <c r="AO29" s="15">
        <v>5</v>
      </c>
      <c r="AP29" s="15">
        <v>13.000000000000002</v>
      </c>
      <c r="AQ29" s="15">
        <v>10</v>
      </c>
      <c r="AR29" s="15">
        <v>9</v>
      </c>
      <c r="AS29" s="15">
        <v>7</v>
      </c>
      <c r="AT29" s="16">
        <v>7</v>
      </c>
    </row>
    <row r="30" spans="1:46" x14ac:dyDescent="0.25">
      <c r="A30">
        <v>27</v>
      </c>
      <c r="B30" s="1" t="s">
        <v>26</v>
      </c>
      <c r="C30" s="14">
        <v>4</v>
      </c>
      <c r="D30" s="15">
        <v>15</v>
      </c>
      <c r="E30" s="15">
        <v>3</v>
      </c>
      <c r="F30" s="15">
        <v>5</v>
      </c>
      <c r="G30" s="15">
        <v>2</v>
      </c>
      <c r="H30" s="15">
        <v>5</v>
      </c>
      <c r="I30" s="15">
        <v>10</v>
      </c>
      <c r="J30" s="15">
        <v>8</v>
      </c>
      <c r="K30" s="15">
        <v>10</v>
      </c>
      <c r="L30" s="15">
        <v>14</v>
      </c>
      <c r="M30" s="15">
        <v>15</v>
      </c>
      <c r="N30" s="15">
        <v>18</v>
      </c>
      <c r="O30" s="15">
        <v>6</v>
      </c>
      <c r="P30" s="15">
        <v>3</v>
      </c>
      <c r="Q30" s="15">
        <v>7</v>
      </c>
      <c r="R30" s="15">
        <v>1</v>
      </c>
      <c r="S30" s="15">
        <v>7</v>
      </c>
      <c r="T30" s="15">
        <v>6</v>
      </c>
      <c r="U30" s="15">
        <v>5</v>
      </c>
      <c r="V30" s="15">
        <v>7</v>
      </c>
      <c r="W30" s="15">
        <v>4</v>
      </c>
      <c r="X30" s="15">
        <v>6</v>
      </c>
      <c r="Y30" s="15">
        <v>5</v>
      </c>
      <c r="Z30" s="15">
        <v>3</v>
      </c>
      <c r="AA30" s="15">
        <v>2</v>
      </c>
      <c r="AB30" s="15">
        <v>9</v>
      </c>
      <c r="AC30" s="15">
        <v>0</v>
      </c>
      <c r="AD30" s="15">
        <v>4</v>
      </c>
      <c r="AE30" s="15">
        <v>4</v>
      </c>
      <c r="AF30" s="15">
        <v>6</v>
      </c>
      <c r="AG30" s="15">
        <v>5</v>
      </c>
      <c r="AH30" s="15">
        <v>3</v>
      </c>
      <c r="AI30" s="15">
        <v>6</v>
      </c>
      <c r="AJ30" s="15">
        <v>2</v>
      </c>
      <c r="AK30" s="15">
        <v>11</v>
      </c>
      <c r="AL30" s="15">
        <v>3</v>
      </c>
      <c r="AM30" s="15">
        <v>13.000000000000002</v>
      </c>
      <c r="AN30" s="15">
        <v>17</v>
      </c>
      <c r="AO30" s="15">
        <v>5</v>
      </c>
      <c r="AP30" s="15">
        <v>13.000000000000002</v>
      </c>
      <c r="AQ30" s="15">
        <v>5</v>
      </c>
      <c r="AR30" s="15">
        <v>2</v>
      </c>
      <c r="AS30" s="15">
        <v>6</v>
      </c>
      <c r="AT30" s="16">
        <v>0</v>
      </c>
    </row>
    <row r="31" spans="1:46" x14ac:dyDescent="0.25">
      <c r="A31">
        <v>28</v>
      </c>
      <c r="B31" s="1" t="s">
        <v>27</v>
      </c>
      <c r="C31" s="14">
        <v>4</v>
      </c>
      <c r="D31" s="15">
        <v>14</v>
      </c>
      <c r="E31" s="15">
        <v>6</v>
      </c>
      <c r="F31" s="15">
        <v>3</v>
      </c>
      <c r="G31" s="15">
        <v>3</v>
      </c>
      <c r="H31" s="15">
        <v>0</v>
      </c>
      <c r="I31" s="15">
        <v>7</v>
      </c>
      <c r="J31" s="15">
        <v>8</v>
      </c>
      <c r="K31" s="15">
        <v>9</v>
      </c>
      <c r="L31" s="15">
        <v>14</v>
      </c>
      <c r="M31" s="15">
        <v>14</v>
      </c>
      <c r="N31" s="15">
        <v>18</v>
      </c>
      <c r="O31" s="15">
        <v>4</v>
      </c>
      <c r="P31" s="15">
        <v>7</v>
      </c>
      <c r="Q31" s="15">
        <v>7</v>
      </c>
      <c r="R31" s="15">
        <v>4</v>
      </c>
      <c r="S31" s="15">
        <v>2</v>
      </c>
      <c r="T31" s="15">
        <v>5</v>
      </c>
      <c r="U31" s="15">
        <v>1</v>
      </c>
      <c r="V31" s="15">
        <v>6</v>
      </c>
      <c r="W31" s="15">
        <v>3</v>
      </c>
      <c r="X31" s="15">
        <v>5</v>
      </c>
      <c r="Y31" s="15">
        <v>3</v>
      </c>
      <c r="Z31" s="15">
        <v>6</v>
      </c>
      <c r="AA31" s="15">
        <v>5</v>
      </c>
      <c r="AB31" s="15">
        <v>8</v>
      </c>
      <c r="AC31" s="15">
        <v>6</v>
      </c>
      <c r="AD31" s="15">
        <v>0</v>
      </c>
      <c r="AE31" s="15">
        <v>6</v>
      </c>
      <c r="AF31" s="15">
        <v>7</v>
      </c>
      <c r="AG31" s="15">
        <v>5</v>
      </c>
      <c r="AH31" s="15">
        <v>7</v>
      </c>
      <c r="AI31" s="15">
        <v>4</v>
      </c>
      <c r="AJ31" s="15">
        <v>8</v>
      </c>
      <c r="AK31" s="15">
        <v>7</v>
      </c>
      <c r="AL31" s="15">
        <v>6</v>
      </c>
      <c r="AM31" s="15">
        <v>12</v>
      </c>
      <c r="AN31" s="15">
        <v>16</v>
      </c>
      <c r="AO31" s="15">
        <v>6</v>
      </c>
      <c r="AP31" s="15">
        <v>13.000000000000002</v>
      </c>
      <c r="AQ31" s="15">
        <v>3</v>
      </c>
      <c r="AR31" s="15">
        <v>8</v>
      </c>
      <c r="AS31" s="15">
        <v>4</v>
      </c>
      <c r="AT31" s="16">
        <v>6</v>
      </c>
    </row>
    <row r="32" spans="1:46" x14ac:dyDescent="0.25">
      <c r="A32">
        <v>29</v>
      </c>
      <c r="B32" s="1" t="s">
        <v>28</v>
      </c>
      <c r="C32" s="14">
        <v>7</v>
      </c>
      <c r="D32" s="15">
        <v>14</v>
      </c>
      <c r="E32" s="15">
        <v>7</v>
      </c>
      <c r="F32" s="15">
        <v>4</v>
      </c>
      <c r="G32" s="15">
        <v>3</v>
      </c>
      <c r="H32" s="15">
        <v>4</v>
      </c>
      <c r="I32" s="15">
        <v>11</v>
      </c>
      <c r="J32" s="15">
        <v>8</v>
      </c>
      <c r="K32" s="15">
        <v>9</v>
      </c>
      <c r="L32" s="15">
        <v>14</v>
      </c>
      <c r="M32" s="15">
        <v>14</v>
      </c>
      <c r="N32" s="15">
        <v>18</v>
      </c>
      <c r="O32" s="15">
        <v>8</v>
      </c>
      <c r="P32" s="15">
        <v>7</v>
      </c>
      <c r="Q32" s="15">
        <v>7</v>
      </c>
      <c r="R32" s="15">
        <v>4</v>
      </c>
      <c r="S32" s="15">
        <v>6</v>
      </c>
      <c r="T32" s="15">
        <v>5</v>
      </c>
      <c r="U32" s="15">
        <v>4</v>
      </c>
      <c r="V32" s="15">
        <v>6</v>
      </c>
      <c r="W32" s="15">
        <v>3</v>
      </c>
      <c r="X32" s="15">
        <v>5</v>
      </c>
      <c r="Y32" s="15">
        <v>4</v>
      </c>
      <c r="Z32" s="15">
        <v>7</v>
      </c>
      <c r="AA32" s="15">
        <v>5</v>
      </c>
      <c r="AB32" s="15">
        <v>12</v>
      </c>
      <c r="AC32" s="15">
        <v>6</v>
      </c>
      <c r="AD32" s="15">
        <v>4</v>
      </c>
      <c r="AE32" s="15">
        <v>0</v>
      </c>
      <c r="AF32" s="15">
        <v>7</v>
      </c>
      <c r="AG32" s="15">
        <v>8</v>
      </c>
      <c r="AH32" s="15">
        <v>7</v>
      </c>
      <c r="AI32" s="15">
        <v>5</v>
      </c>
      <c r="AJ32" s="15">
        <v>8</v>
      </c>
      <c r="AK32" s="15">
        <v>10</v>
      </c>
      <c r="AL32" s="15">
        <v>6</v>
      </c>
      <c r="AM32" s="15">
        <v>12</v>
      </c>
      <c r="AN32" s="15">
        <v>16</v>
      </c>
      <c r="AO32" s="15">
        <v>6</v>
      </c>
      <c r="AP32" s="15">
        <v>13.000000000000002</v>
      </c>
      <c r="AQ32" s="15">
        <v>4</v>
      </c>
      <c r="AR32" s="15">
        <v>8</v>
      </c>
      <c r="AS32" s="15">
        <v>8</v>
      </c>
      <c r="AT32" s="16">
        <v>6</v>
      </c>
    </row>
    <row r="33" spans="1:46" x14ac:dyDescent="0.25">
      <c r="A33">
        <v>30</v>
      </c>
      <c r="B33" s="1" t="s">
        <v>29</v>
      </c>
      <c r="C33" s="14">
        <v>5</v>
      </c>
      <c r="D33" s="15">
        <v>11</v>
      </c>
      <c r="E33" s="15">
        <v>4</v>
      </c>
      <c r="F33" s="15">
        <v>7</v>
      </c>
      <c r="G33" s="15">
        <v>7</v>
      </c>
      <c r="H33" s="15">
        <v>8</v>
      </c>
      <c r="I33" s="15">
        <v>9</v>
      </c>
      <c r="J33" s="15">
        <v>3</v>
      </c>
      <c r="K33" s="15">
        <v>12</v>
      </c>
      <c r="L33" s="15">
        <v>10</v>
      </c>
      <c r="M33" s="15">
        <v>11</v>
      </c>
      <c r="N33" s="15">
        <v>19</v>
      </c>
      <c r="O33" s="15">
        <v>6</v>
      </c>
      <c r="P33" s="15">
        <v>4</v>
      </c>
      <c r="Q33" s="15">
        <v>1</v>
      </c>
      <c r="R33" s="15">
        <v>6</v>
      </c>
      <c r="S33" s="15">
        <v>9</v>
      </c>
      <c r="T33" s="15">
        <v>2</v>
      </c>
      <c r="U33" s="15">
        <v>8</v>
      </c>
      <c r="V33" s="15">
        <v>9</v>
      </c>
      <c r="W33" s="15">
        <v>6</v>
      </c>
      <c r="X33" s="15">
        <v>8</v>
      </c>
      <c r="Y33" s="15">
        <v>8</v>
      </c>
      <c r="Z33" s="15">
        <v>4</v>
      </c>
      <c r="AA33" s="15">
        <v>3</v>
      </c>
      <c r="AB33" s="15">
        <v>7</v>
      </c>
      <c r="AC33" s="15">
        <v>5</v>
      </c>
      <c r="AD33" s="15">
        <v>8</v>
      </c>
      <c r="AE33" s="15">
        <v>8</v>
      </c>
      <c r="AF33" s="15">
        <v>0</v>
      </c>
      <c r="AG33" s="15">
        <v>4</v>
      </c>
      <c r="AH33" s="15">
        <v>4</v>
      </c>
      <c r="AI33" s="15">
        <v>9</v>
      </c>
      <c r="AJ33" s="15">
        <v>6</v>
      </c>
      <c r="AK33" s="15">
        <v>12</v>
      </c>
      <c r="AL33" s="15">
        <v>4</v>
      </c>
      <c r="AM33" s="15">
        <v>13.000000000000002</v>
      </c>
      <c r="AN33" s="15">
        <v>17</v>
      </c>
      <c r="AO33" s="15">
        <v>2</v>
      </c>
      <c r="AP33" s="15">
        <v>10</v>
      </c>
      <c r="AQ33" s="15">
        <v>8</v>
      </c>
      <c r="AR33" s="15">
        <v>7</v>
      </c>
      <c r="AS33" s="15">
        <v>6</v>
      </c>
      <c r="AT33" s="16">
        <v>5</v>
      </c>
    </row>
    <row r="34" spans="1:46" x14ac:dyDescent="0.25">
      <c r="A34">
        <v>31</v>
      </c>
      <c r="B34" s="1" t="s">
        <v>30</v>
      </c>
      <c r="C34" s="14">
        <v>4</v>
      </c>
      <c r="D34" s="15">
        <v>11</v>
      </c>
      <c r="E34" s="15">
        <v>4</v>
      </c>
      <c r="F34" s="15">
        <v>8</v>
      </c>
      <c r="G34" s="15">
        <v>7</v>
      </c>
      <c r="H34" s="15">
        <v>7</v>
      </c>
      <c r="I34" s="15">
        <v>7</v>
      </c>
      <c r="J34" s="15">
        <v>6</v>
      </c>
      <c r="K34" s="15">
        <v>12</v>
      </c>
      <c r="L34" s="15">
        <v>10</v>
      </c>
      <c r="M34" s="15">
        <v>11</v>
      </c>
      <c r="N34" s="15">
        <v>19</v>
      </c>
      <c r="O34" s="15">
        <v>5</v>
      </c>
      <c r="P34" s="15">
        <v>4</v>
      </c>
      <c r="Q34" s="15">
        <v>4</v>
      </c>
      <c r="R34" s="15">
        <v>5</v>
      </c>
      <c r="S34" s="15">
        <v>7</v>
      </c>
      <c r="T34" s="15">
        <v>3</v>
      </c>
      <c r="U34" s="15">
        <v>6</v>
      </c>
      <c r="V34" s="15">
        <v>9</v>
      </c>
      <c r="W34" s="15">
        <v>7</v>
      </c>
      <c r="X34" s="15">
        <v>8</v>
      </c>
      <c r="Y34" s="15">
        <v>8</v>
      </c>
      <c r="Z34" s="15">
        <v>4</v>
      </c>
      <c r="AA34" s="15">
        <v>3</v>
      </c>
      <c r="AB34" s="15">
        <v>3</v>
      </c>
      <c r="AC34" s="15">
        <v>4</v>
      </c>
      <c r="AD34" s="15">
        <v>6</v>
      </c>
      <c r="AE34" s="15">
        <v>8</v>
      </c>
      <c r="AF34" s="15">
        <v>3</v>
      </c>
      <c r="AG34" s="15">
        <v>0</v>
      </c>
      <c r="AH34" s="15">
        <v>4</v>
      </c>
      <c r="AI34" s="15">
        <v>9</v>
      </c>
      <c r="AJ34" s="15">
        <v>6</v>
      </c>
      <c r="AK34" s="15">
        <v>13.000000000000002</v>
      </c>
      <c r="AL34" s="15">
        <v>4</v>
      </c>
      <c r="AM34" s="15">
        <v>14</v>
      </c>
      <c r="AN34" s="15">
        <v>18</v>
      </c>
      <c r="AO34" s="15">
        <v>2</v>
      </c>
      <c r="AP34" s="15">
        <v>11</v>
      </c>
      <c r="AQ34" s="15">
        <v>8</v>
      </c>
      <c r="AR34" s="15">
        <v>6</v>
      </c>
      <c r="AS34" s="15">
        <v>5</v>
      </c>
      <c r="AT34" s="16">
        <v>5</v>
      </c>
    </row>
    <row r="35" spans="1:46" x14ac:dyDescent="0.25">
      <c r="A35">
        <v>32</v>
      </c>
      <c r="B35" s="1" t="s">
        <v>31</v>
      </c>
      <c r="C35" s="14">
        <v>3</v>
      </c>
      <c r="D35" s="15">
        <v>14</v>
      </c>
      <c r="E35" s="15">
        <v>0</v>
      </c>
      <c r="F35" s="15">
        <v>8</v>
      </c>
      <c r="G35" s="15">
        <v>4</v>
      </c>
      <c r="H35" s="15">
        <v>6</v>
      </c>
      <c r="I35" s="15">
        <v>10</v>
      </c>
      <c r="J35" s="15">
        <v>8</v>
      </c>
      <c r="K35" s="15">
        <v>12</v>
      </c>
      <c r="L35" s="15">
        <v>13.000000000000002</v>
      </c>
      <c r="M35" s="15">
        <v>14</v>
      </c>
      <c r="N35" s="15">
        <v>20.999999999999996</v>
      </c>
      <c r="O35" s="15">
        <v>5</v>
      </c>
      <c r="P35" s="15">
        <v>0</v>
      </c>
      <c r="Q35" s="15">
        <v>7</v>
      </c>
      <c r="R35" s="15">
        <v>3</v>
      </c>
      <c r="S35" s="15">
        <v>6</v>
      </c>
      <c r="T35" s="15">
        <v>6</v>
      </c>
      <c r="U35" s="15">
        <v>6</v>
      </c>
      <c r="V35" s="15">
        <v>9</v>
      </c>
      <c r="W35" s="15">
        <v>6</v>
      </c>
      <c r="X35" s="15">
        <v>8</v>
      </c>
      <c r="Y35" s="15">
        <v>8</v>
      </c>
      <c r="Z35" s="15">
        <v>3</v>
      </c>
      <c r="AA35" s="15">
        <v>1</v>
      </c>
      <c r="AB35" s="15">
        <v>8</v>
      </c>
      <c r="AC35" s="15">
        <v>2</v>
      </c>
      <c r="AD35" s="15">
        <v>6</v>
      </c>
      <c r="AE35" s="15">
        <v>6</v>
      </c>
      <c r="AF35" s="15">
        <v>6</v>
      </c>
      <c r="AG35" s="15">
        <v>5</v>
      </c>
      <c r="AH35" s="15">
        <v>0</v>
      </c>
      <c r="AI35" s="15">
        <v>8</v>
      </c>
      <c r="AJ35" s="15">
        <v>4</v>
      </c>
      <c r="AK35" s="15">
        <v>13.000000000000002</v>
      </c>
      <c r="AL35" s="15">
        <v>0</v>
      </c>
      <c r="AM35" s="15">
        <v>15</v>
      </c>
      <c r="AN35" s="15">
        <v>19</v>
      </c>
      <c r="AO35" s="15">
        <v>5</v>
      </c>
      <c r="AP35" s="15">
        <v>13.000000000000002</v>
      </c>
      <c r="AQ35" s="15">
        <v>7</v>
      </c>
      <c r="AR35" s="15">
        <v>4</v>
      </c>
      <c r="AS35" s="15">
        <v>5</v>
      </c>
      <c r="AT35" s="16">
        <v>2</v>
      </c>
    </row>
    <row r="36" spans="1:46" x14ac:dyDescent="0.25">
      <c r="A36">
        <v>33</v>
      </c>
      <c r="B36" s="1" t="s">
        <v>32</v>
      </c>
      <c r="C36" s="14">
        <v>6</v>
      </c>
      <c r="D36" s="15">
        <v>16</v>
      </c>
      <c r="E36" s="15">
        <v>8</v>
      </c>
      <c r="F36" s="15">
        <v>2</v>
      </c>
      <c r="G36" s="15">
        <v>5</v>
      </c>
      <c r="H36" s="15">
        <v>3</v>
      </c>
      <c r="I36" s="15">
        <v>10</v>
      </c>
      <c r="J36" s="15">
        <v>9</v>
      </c>
      <c r="K36" s="15">
        <v>8</v>
      </c>
      <c r="L36" s="15">
        <v>15</v>
      </c>
      <c r="M36" s="15">
        <v>16</v>
      </c>
      <c r="N36" s="15">
        <v>19</v>
      </c>
      <c r="O36" s="15">
        <v>7</v>
      </c>
      <c r="P36" s="15">
        <v>8</v>
      </c>
      <c r="Q36" s="15">
        <v>9</v>
      </c>
      <c r="R36" s="15">
        <v>6</v>
      </c>
      <c r="S36" s="15">
        <v>5</v>
      </c>
      <c r="T36" s="15">
        <v>6</v>
      </c>
      <c r="U36" s="15">
        <v>3</v>
      </c>
      <c r="V36" s="15">
        <v>5</v>
      </c>
      <c r="W36" s="15">
        <v>4</v>
      </c>
      <c r="X36" s="15">
        <v>3</v>
      </c>
      <c r="Y36" s="15">
        <v>2</v>
      </c>
      <c r="Z36" s="15">
        <v>8</v>
      </c>
      <c r="AA36" s="15">
        <v>7</v>
      </c>
      <c r="AB36" s="15">
        <v>11</v>
      </c>
      <c r="AC36" s="15">
        <v>8</v>
      </c>
      <c r="AD36" s="15">
        <v>2</v>
      </c>
      <c r="AE36" s="15">
        <v>8</v>
      </c>
      <c r="AF36" s="15">
        <v>9</v>
      </c>
      <c r="AG36" s="15">
        <v>7</v>
      </c>
      <c r="AH36" s="15">
        <v>8</v>
      </c>
      <c r="AI36" s="15">
        <v>0</v>
      </c>
      <c r="AJ36" s="15">
        <v>9</v>
      </c>
      <c r="AK36" s="15">
        <v>6</v>
      </c>
      <c r="AL36" s="15">
        <v>8</v>
      </c>
      <c r="AM36" s="15">
        <v>14</v>
      </c>
      <c r="AN36" s="15">
        <v>18</v>
      </c>
      <c r="AO36" s="15">
        <v>8</v>
      </c>
      <c r="AP36" s="15">
        <v>14</v>
      </c>
      <c r="AQ36" s="15">
        <v>2</v>
      </c>
      <c r="AR36" s="15">
        <v>10</v>
      </c>
      <c r="AS36" s="15">
        <v>7</v>
      </c>
      <c r="AT36" s="16">
        <v>8</v>
      </c>
    </row>
    <row r="37" spans="1:46" x14ac:dyDescent="0.25">
      <c r="A37">
        <v>34</v>
      </c>
      <c r="B37" s="1" t="s">
        <v>33</v>
      </c>
      <c r="C37" s="14">
        <v>5</v>
      </c>
      <c r="D37" s="15">
        <v>16</v>
      </c>
      <c r="E37" s="15">
        <v>4</v>
      </c>
      <c r="F37" s="15">
        <v>9</v>
      </c>
      <c r="G37" s="15">
        <v>6</v>
      </c>
      <c r="H37" s="15">
        <v>9</v>
      </c>
      <c r="I37" s="15">
        <v>12</v>
      </c>
      <c r="J37" s="15">
        <v>10</v>
      </c>
      <c r="K37" s="15">
        <v>14</v>
      </c>
      <c r="L37" s="15">
        <v>15</v>
      </c>
      <c r="M37" s="15">
        <v>16</v>
      </c>
      <c r="N37" s="15">
        <v>22</v>
      </c>
      <c r="O37" s="15">
        <v>7</v>
      </c>
      <c r="P37" s="15">
        <v>4</v>
      </c>
      <c r="Q37" s="15">
        <v>8</v>
      </c>
      <c r="R37" s="15">
        <v>5</v>
      </c>
      <c r="S37" s="15">
        <v>9</v>
      </c>
      <c r="T37" s="15">
        <v>7</v>
      </c>
      <c r="U37" s="15">
        <v>8</v>
      </c>
      <c r="V37" s="15">
        <v>10</v>
      </c>
      <c r="W37" s="15">
        <v>7</v>
      </c>
      <c r="X37" s="15">
        <v>9</v>
      </c>
      <c r="Y37" s="15">
        <v>9</v>
      </c>
      <c r="Z37" s="15">
        <v>4</v>
      </c>
      <c r="AA37" s="15">
        <v>3</v>
      </c>
      <c r="AB37" s="15">
        <v>10</v>
      </c>
      <c r="AC37" s="15">
        <v>4</v>
      </c>
      <c r="AD37" s="15">
        <v>8</v>
      </c>
      <c r="AE37" s="15">
        <v>8</v>
      </c>
      <c r="AF37" s="15">
        <v>8</v>
      </c>
      <c r="AG37" s="15">
        <v>6</v>
      </c>
      <c r="AH37" s="15">
        <v>5</v>
      </c>
      <c r="AI37" s="15">
        <v>10</v>
      </c>
      <c r="AJ37" s="15">
        <v>0</v>
      </c>
      <c r="AK37" s="15">
        <v>15</v>
      </c>
      <c r="AL37" s="15">
        <v>4</v>
      </c>
      <c r="AM37" s="15">
        <v>17</v>
      </c>
      <c r="AN37" s="15">
        <v>20</v>
      </c>
      <c r="AO37" s="15">
        <v>6</v>
      </c>
      <c r="AP37" s="15">
        <v>15</v>
      </c>
      <c r="AQ37" s="15">
        <v>8</v>
      </c>
      <c r="AR37" s="15">
        <v>0</v>
      </c>
      <c r="AS37" s="15">
        <v>7</v>
      </c>
      <c r="AT37" s="16">
        <v>4</v>
      </c>
    </row>
    <row r="38" spans="1:46" x14ac:dyDescent="0.25">
      <c r="A38">
        <v>35</v>
      </c>
      <c r="B38" s="1" t="s">
        <v>34</v>
      </c>
      <c r="C38" s="14">
        <v>9</v>
      </c>
      <c r="D38" s="15">
        <v>20</v>
      </c>
      <c r="E38" s="15">
        <v>12</v>
      </c>
      <c r="F38" s="15">
        <v>8</v>
      </c>
      <c r="G38" s="15">
        <v>9</v>
      </c>
      <c r="H38" s="15">
        <v>6</v>
      </c>
      <c r="I38" s="15">
        <v>13.000000000000002</v>
      </c>
      <c r="J38" s="15">
        <v>14</v>
      </c>
      <c r="K38" s="15">
        <v>13.000000000000002</v>
      </c>
      <c r="L38" s="15">
        <v>19</v>
      </c>
      <c r="M38" s="15">
        <v>20</v>
      </c>
      <c r="N38" s="15">
        <v>24</v>
      </c>
      <c r="O38" s="15">
        <v>10</v>
      </c>
      <c r="P38" s="15">
        <v>12</v>
      </c>
      <c r="Q38" s="15">
        <v>13.000000000000002</v>
      </c>
      <c r="R38" s="15">
        <v>10</v>
      </c>
      <c r="S38" s="15">
        <v>7</v>
      </c>
      <c r="T38" s="15">
        <v>11</v>
      </c>
      <c r="U38" s="15">
        <v>7</v>
      </c>
      <c r="V38" s="15">
        <v>8</v>
      </c>
      <c r="W38" s="15">
        <v>8</v>
      </c>
      <c r="X38" s="15">
        <v>7</v>
      </c>
      <c r="Y38" s="15">
        <v>8</v>
      </c>
      <c r="Z38" s="15">
        <v>11</v>
      </c>
      <c r="AA38" s="15">
        <v>11</v>
      </c>
      <c r="AB38" s="15">
        <v>14</v>
      </c>
      <c r="AC38" s="15">
        <v>12</v>
      </c>
      <c r="AD38" s="15">
        <v>7</v>
      </c>
      <c r="AE38" s="15">
        <v>12</v>
      </c>
      <c r="AF38" s="15">
        <v>13.000000000000002</v>
      </c>
      <c r="AG38" s="15">
        <v>10</v>
      </c>
      <c r="AH38" s="15">
        <v>12</v>
      </c>
      <c r="AI38" s="15">
        <v>6</v>
      </c>
      <c r="AJ38" s="15">
        <v>14</v>
      </c>
      <c r="AK38" s="15">
        <v>0</v>
      </c>
      <c r="AL38" s="15">
        <v>11</v>
      </c>
      <c r="AM38" s="15">
        <v>18</v>
      </c>
      <c r="AN38" s="15">
        <v>22</v>
      </c>
      <c r="AO38" s="15">
        <v>12</v>
      </c>
      <c r="AP38" s="15">
        <v>19</v>
      </c>
      <c r="AQ38" s="15">
        <v>8</v>
      </c>
      <c r="AR38" s="15">
        <v>14</v>
      </c>
      <c r="AS38" s="15">
        <v>9</v>
      </c>
      <c r="AT38" s="16">
        <v>12</v>
      </c>
    </row>
    <row r="39" spans="1:46" x14ac:dyDescent="0.25">
      <c r="A39">
        <v>36</v>
      </c>
      <c r="B39" s="1" t="s">
        <v>35</v>
      </c>
      <c r="C39" s="14">
        <v>3</v>
      </c>
      <c r="D39" s="15">
        <v>13.000000000000002</v>
      </c>
      <c r="E39" s="15">
        <v>0</v>
      </c>
      <c r="F39" s="15">
        <v>7</v>
      </c>
      <c r="G39" s="15">
        <v>4</v>
      </c>
      <c r="H39" s="15">
        <v>6</v>
      </c>
      <c r="I39" s="15">
        <v>9</v>
      </c>
      <c r="J39" s="15">
        <v>8</v>
      </c>
      <c r="K39" s="15">
        <v>12</v>
      </c>
      <c r="L39" s="15">
        <v>13.000000000000002</v>
      </c>
      <c r="M39" s="15">
        <v>14</v>
      </c>
      <c r="N39" s="15">
        <v>20</v>
      </c>
      <c r="O39" s="15">
        <v>5</v>
      </c>
      <c r="P39" s="15">
        <v>0</v>
      </c>
      <c r="Q39" s="15">
        <v>6</v>
      </c>
      <c r="R39" s="15">
        <v>3</v>
      </c>
      <c r="S39" s="15">
        <v>7</v>
      </c>
      <c r="T39" s="15">
        <v>5</v>
      </c>
      <c r="U39" s="15">
        <v>6</v>
      </c>
      <c r="V39" s="15">
        <v>9</v>
      </c>
      <c r="W39" s="15">
        <v>5</v>
      </c>
      <c r="X39" s="15">
        <v>8</v>
      </c>
      <c r="Y39" s="15">
        <v>7</v>
      </c>
      <c r="Z39" s="15">
        <v>2</v>
      </c>
      <c r="AA39" s="15">
        <v>1</v>
      </c>
      <c r="AB39" s="15">
        <v>8</v>
      </c>
      <c r="AC39" s="15">
        <v>2</v>
      </c>
      <c r="AD39" s="15">
        <v>6</v>
      </c>
      <c r="AE39" s="15">
        <v>6</v>
      </c>
      <c r="AF39" s="15">
        <v>5</v>
      </c>
      <c r="AG39" s="15">
        <v>4</v>
      </c>
      <c r="AH39" s="15">
        <v>0</v>
      </c>
      <c r="AI39" s="15">
        <v>8</v>
      </c>
      <c r="AJ39" s="15">
        <v>4</v>
      </c>
      <c r="AK39" s="15">
        <v>13.000000000000002</v>
      </c>
      <c r="AL39" s="15">
        <v>0</v>
      </c>
      <c r="AM39" s="15">
        <v>15</v>
      </c>
      <c r="AN39" s="15">
        <v>19</v>
      </c>
      <c r="AO39" s="15">
        <v>4</v>
      </c>
      <c r="AP39" s="15">
        <v>13.000000000000002</v>
      </c>
      <c r="AQ39" s="15">
        <v>7</v>
      </c>
      <c r="AR39" s="15">
        <v>4</v>
      </c>
      <c r="AS39" s="15">
        <v>5</v>
      </c>
      <c r="AT39" s="16">
        <v>2</v>
      </c>
    </row>
    <row r="40" spans="1:46" x14ac:dyDescent="0.25">
      <c r="A40">
        <v>37</v>
      </c>
      <c r="B40" s="1" t="s">
        <v>36</v>
      </c>
      <c r="C40" s="14">
        <v>15</v>
      </c>
      <c r="D40" s="15">
        <v>19</v>
      </c>
      <c r="E40" s="15">
        <v>14</v>
      </c>
      <c r="F40" s="15">
        <v>11</v>
      </c>
      <c r="G40" s="15">
        <v>11</v>
      </c>
      <c r="H40" s="15">
        <v>12</v>
      </c>
      <c r="I40" s="15">
        <v>19</v>
      </c>
      <c r="J40" s="15">
        <v>13.000000000000002</v>
      </c>
      <c r="K40" s="15">
        <v>12</v>
      </c>
      <c r="L40" s="15">
        <v>18</v>
      </c>
      <c r="M40" s="15">
        <v>19</v>
      </c>
      <c r="N40" s="15">
        <v>13.000000000000002</v>
      </c>
      <c r="O40" s="15">
        <v>16</v>
      </c>
      <c r="P40" s="15">
        <v>14</v>
      </c>
      <c r="Q40" s="15">
        <v>12</v>
      </c>
      <c r="R40" s="15">
        <v>13.000000000000002</v>
      </c>
      <c r="S40" s="15">
        <v>14</v>
      </c>
      <c r="T40" s="15">
        <v>10</v>
      </c>
      <c r="U40" s="15">
        <v>12</v>
      </c>
      <c r="V40" s="15">
        <v>12</v>
      </c>
      <c r="W40" s="15">
        <v>10</v>
      </c>
      <c r="X40" s="15">
        <v>11</v>
      </c>
      <c r="Y40" s="15">
        <v>11</v>
      </c>
      <c r="Z40" s="15">
        <v>14</v>
      </c>
      <c r="AA40" s="15">
        <v>13.000000000000002</v>
      </c>
      <c r="AB40" s="15">
        <v>17</v>
      </c>
      <c r="AC40" s="15">
        <v>14</v>
      </c>
      <c r="AD40" s="15">
        <v>12</v>
      </c>
      <c r="AE40" s="15">
        <v>15</v>
      </c>
      <c r="AF40" s="15">
        <v>12</v>
      </c>
      <c r="AG40" s="15">
        <v>13.000000000000002</v>
      </c>
      <c r="AH40" s="15">
        <v>14</v>
      </c>
      <c r="AI40" s="15">
        <v>13.000000000000002</v>
      </c>
      <c r="AJ40" s="15">
        <v>16</v>
      </c>
      <c r="AK40" s="15">
        <v>16</v>
      </c>
      <c r="AL40" s="15">
        <v>14</v>
      </c>
      <c r="AM40" s="15">
        <v>0</v>
      </c>
      <c r="AN40" s="15">
        <v>11</v>
      </c>
      <c r="AO40" s="15">
        <v>11</v>
      </c>
      <c r="AP40" s="15">
        <v>12</v>
      </c>
      <c r="AQ40" s="15">
        <v>12</v>
      </c>
      <c r="AR40" s="15">
        <v>16</v>
      </c>
      <c r="AS40" s="15">
        <v>16</v>
      </c>
      <c r="AT40" s="16">
        <v>14</v>
      </c>
    </row>
    <row r="41" spans="1:46" x14ac:dyDescent="0.25">
      <c r="A41">
        <v>38</v>
      </c>
      <c r="B41" s="1" t="s">
        <v>37</v>
      </c>
      <c r="C41" s="14">
        <v>20</v>
      </c>
      <c r="D41" s="15">
        <v>24</v>
      </c>
      <c r="E41" s="15">
        <v>19</v>
      </c>
      <c r="F41" s="15">
        <v>16</v>
      </c>
      <c r="G41" s="15">
        <v>16</v>
      </c>
      <c r="H41" s="15">
        <v>17</v>
      </c>
      <c r="I41" s="15">
        <v>23.000000000000004</v>
      </c>
      <c r="J41" s="15">
        <v>17</v>
      </c>
      <c r="K41" s="15">
        <v>14</v>
      </c>
      <c r="L41" s="15">
        <v>23.000000000000004</v>
      </c>
      <c r="M41" s="15">
        <v>24</v>
      </c>
      <c r="N41" s="15">
        <v>12</v>
      </c>
      <c r="O41" s="15">
        <v>20.999999999999996</v>
      </c>
      <c r="P41" s="15">
        <v>19</v>
      </c>
      <c r="Q41" s="15">
        <v>17</v>
      </c>
      <c r="R41" s="15">
        <v>17</v>
      </c>
      <c r="S41" s="15">
        <v>18</v>
      </c>
      <c r="T41" s="15">
        <v>15</v>
      </c>
      <c r="U41" s="15">
        <v>17</v>
      </c>
      <c r="V41" s="15">
        <v>17</v>
      </c>
      <c r="W41" s="15">
        <v>14</v>
      </c>
      <c r="X41" s="15">
        <v>16</v>
      </c>
      <c r="Y41" s="15">
        <v>16</v>
      </c>
      <c r="Z41" s="15">
        <v>19</v>
      </c>
      <c r="AA41" s="15">
        <v>18</v>
      </c>
      <c r="AB41" s="15">
        <v>20.999999999999996</v>
      </c>
      <c r="AC41" s="15">
        <v>19</v>
      </c>
      <c r="AD41" s="15">
        <v>16</v>
      </c>
      <c r="AE41" s="15">
        <v>19</v>
      </c>
      <c r="AF41" s="15">
        <v>17</v>
      </c>
      <c r="AG41" s="15">
        <v>18</v>
      </c>
      <c r="AH41" s="15">
        <v>19</v>
      </c>
      <c r="AI41" s="15">
        <v>17</v>
      </c>
      <c r="AJ41" s="15">
        <v>20.999999999999996</v>
      </c>
      <c r="AK41" s="15">
        <v>20.999999999999996</v>
      </c>
      <c r="AL41" s="15">
        <v>18</v>
      </c>
      <c r="AM41" s="15">
        <v>12</v>
      </c>
      <c r="AN41" s="15">
        <v>0</v>
      </c>
      <c r="AO41" s="15">
        <v>16</v>
      </c>
      <c r="AP41" s="15">
        <v>16</v>
      </c>
      <c r="AQ41" s="15">
        <v>16</v>
      </c>
      <c r="AR41" s="15">
        <v>20.999999999999996</v>
      </c>
      <c r="AS41" s="15">
        <v>20</v>
      </c>
      <c r="AT41" s="16">
        <v>19</v>
      </c>
    </row>
    <row r="42" spans="1:46" x14ac:dyDescent="0.25">
      <c r="A42">
        <v>39</v>
      </c>
      <c r="B42" s="1" t="s">
        <v>38</v>
      </c>
      <c r="C42" s="14">
        <v>4</v>
      </c>
      <c r="D42" s="15">
        <v>9</v>
      </c>
      <c r="E42" s="15">
        <v>4</v>
      </c>
      <c r="F42" s="15">
        <v>7</v>
      </c>
      <c r="G42" s="15">
        <v>6</v>
      </c>
      <c r="H42" s="15">
        <v>7</v>
      </c>
      <c r="I42" s="15">
        <v>8</v>
      </c>
      <c r="J42" s="15">
        <v>4</v>
      </c>
      <c r="K42" s="15">
        <v>11</v>
      </c>
      <c r="L42" s="15">
        <v>9</v>
      </c>
      <c r="M42" s="15">
        <v>10</v>
      </c>
      <c r="N42" s="15">
        <v>18</v>
      </c>
      <c r="O42" s="15">
        <v>6</v>
      </c>
      <c r="P42" s="15">
        <v>4</v>
      </c>
      <c r="Q42" s="15">
        <v>3</v>
      </c>
      <c r="R42" s="15">
        <v>5</v>
      </c>
      <c r="S42" s="15">
        <v>8</v>
      </c>
      <c r="T42" s="15">
        <v>2</v>
      </c>
      <c r="U42" s="15">
        <v>7</v>
      </c>
      <c r="V42" s="15">
        <v>8</v>
      </c>
      <c r="W42" s="15">
        <v>5</v>
      </c>
      <c r="X42" s="15">
        <v>7</v>
      </c>
      <c r="Y42" s="15">
        <v>7</v>
      </c>
      <c r="Z42" s="15">
        <v>4</v>
      </c>
      <c r="AA42" s="15">
        <v>3</v>
      </c>
      <c r="AB42" s="15">
        <v>6</v>
      </c>
      <c r="AC42" s="15">
        <v>4</v>
      </c>
      <c r="AD42" s="15">
        <v>7</v>
      </c>
      <c r="AE42" s="15">
        <v>8</v>
      </c>
      <c r="AF42" s="15">
        <v>2</v>
      </c>
      <c r="AG42" s="15">
        <v>3</v>
      </c>
      <c r="AH42" s="15">
        <v>4</v>
      </c>
      <c r="AI42" s="15">
        <v>8</v>
      </c>
      <c r="AJ42" s="15">
        <v>6</v>
      </c>
      <c r="AK42" s="15">
        <v>12</v>
      </c>
      <c r="AL42" s="15">
        <v>3</v>
      </c>
      <c r="AM42" s="15">
        <v>13.000000000000002</v>
      </c>
      <c r="AN42" s="15">
        <v>16</v>
      </c>
      <c r="AO42" s="15">
        <v>0</v>
      </c>
      <c r="AP42" s="15">
        <v>9</v>
      </c>
      <c r="AQ42" s="15">
        <v>7</v>
      </c>
      <c r="AR42" s="15">
        <v>6</v>
      </c>
      <c r="AS42" s="15">
        <v>6</v>
      </c>
      <c r="AT42" s="16">
        <v>4</v>
      </c>
    </row>
    <row r="43" spans="1:46" x14ac:dyDescent="0.25">
      <c r="A43">
        <v>40</v>
      </c>
      <c r="B43" s="1" t="s">
        <v>39</v>
      </c>
      <c r="C43" s="14">
        <v>14</v>
      </c>
      <c r="D43" s="15">
        <v>10</v>
      </c>
      <c r="E43" s="15">
        <v>13.000000000000002</v>
      </c>
      <c r="F43" s="15">
        <v>12</v>
      </c>
      <c r="G43" s="15">
        <v>12</v>
      </c>
      <c r="H43" s="15">
        <v>13.000000000000002</v>
      </c>
      <c r="I43" s="15">
        <v>18</v>
      </c>
      <c r="J43" s="15">
        <v>13.000000000000002</v>
      </c>
      <c r="K43" s="15">
        <v>16</v>
      </c>
      <c r="L43" s="15">
        <v>9</v>
      </c>
      <c r="M43" s="15">
        <v>10</v>
      </c>
      <c r="N43" s="15">
        <v>17</v>
      </c>
      <c r="O43" s="15">
        <v>15</v>
      </c>
      <c r="P43" s="15">
        <v>13.000000000000002</v>
      </c>
      <c r="Q43" s="15">
        <v>11</v>
      </c>
      <c r="R43" s="15">
        <v>13.000000000000002</v>
      </c>
      <c r="S43" s="15">
        <v>15</v>
      </c>
      <c r="T43" s="15">
        <v>9</v>
      </c>
      <c r="U43" s="15">
        <v>13.000000000000002</v>
      </c>
      <c r="V43" s="15">
        <v>13.000000000000002</v>
      </c>
      <c r="W43" s="15">
        <v>10</v>
      </c>
      <c r="X43" s="15">
        <v>12</v>
      </c>
      <c r="Y43" s="15">
        <v>12</v>
      </c>
      <c r="Z43" s="15">
        <v>13.000000000000002</v>
      </c>
      <c r="AA43" s="15">
        <v>12</v>
      </c>
      <c r="AB43" s="15">
        <v>16</v>
      </c>
      <c r="AC43" s="15">
        <v>13.000000000000002</v>
      </c>
      <c r="AD43" s="15">
        <v>12</v>
      </c>
      <c r="AE43" s="15">
        <v>15</v>
      </c>
      <c r="AF43" s="15">
        <v>11</v>
      </c>
      <c r="AG43" s="15">
        <v>12</v>
      </c>
      <c r="AH43" s="15">
        <v>13.000000000000002</v>
      </c>
      <c r="AI43" s="15">
        <v>13.000000000000002</v>
      </c>
      <c r="AJ43" s="15">
        <v>15</v>
      </c>
      <c r="AK43" s="15">
        <v>17</v>
      </c>
      <c r="AL43" s="15">
        <v>13.000000000000002</v>
      </c>
      <c r="AM43" s="15">
        <v>11</v>
      </c>
      <c r="AN43" s="15">
        <v>15</v>
      </c>
      <c r="AO43" s="15">
        <v>10</v>
      </c>
      <c r="AP43" s="15">
        <v>0</v>
      </c>
      <c r="AQ43" s="15">
        <v>12</v>
      </c>
      <c r="AR43" s="15">
        <v>15</v>
      </c>
      <c r="AS43" s="15">
        <v>15</v>
      </c>
      <c r="AT43" s="16">
        <v>14</v>
      </c>
    </row>
    <row r="44" spans="1:46" x14ac:dyDescent="0.25">
      <c r="A44">
        <v>41</v>
      </c>
      <c r="B44" s="1" t="s">
        <v>40</v>
      </c>
      <c r="C44" s="14">
        <v>6</v>
      </c>
      <c r="D44" s="15">
        <v>14</v>
      </c>
      <c r="E44" s="15">
        <v>7</v>
      </c>
      <c r="F44" s="15">
        <v>0</v>
      </c>
      <c r="G44" s="15">
        <v>3</v>
      </c>
      <c r="H44" s="15">
        <v>2</v>
      </c>
      <c r="I44" s="15">
        <v>9</v>
      </c>
      <c r="J44" s="15">
        <v>8</v>
      </c>
      <c r="K44" s="15">
        <v>7</v>
      </c>
      <c r="L44" s="15">
        <v>13.000000000000002</v>
      </c>
      <c r="M44" s="15">
        <v>14</v>
      </c>
      <c r="N44" s="15">
        <v>18</v>
      </c>
      <c r="O44" s="15">
        <v>6</v>
      </c>
      <c r="P44" s="15">
        <v>7</v>
      </c>
      <c r="Q44" s="15">
        <v>7</v>
      </c>
      <c r="R44" s="15">
        <v>4</v>
      </c>
      <c r="S44" s="15">
        <v>4</v>
      </c>
      <c r="T44" s="15">
        <v>5</v>
      </c>
      <c r="U44" s="15">
        <v>2</v>
      </c>
      <c r="V44" s="15">
        <v>4</v>
      </c>
      <c r="W44" s="15">
        <v>2</v>
      </c>
      <c r="X44" s="15">
        <v>2</v>
      </c>
      <c r="Y44" s="15">
        <v>0</v>
      </c>
      <c r="Z44" s="15">
        <v>7</v>
      </c>
      <c r="AA44" s="15">
        <v>5</v>
      </c>
      <c r="AB44" s="15">
        <v>10</v>
      </c>
      <c r="AC44" s="15">
        <v>6</v>
      </c>
      <c r="AD44" s="15">
        <v>2</v>
      </c>
      <c r="AE44" s="15">
        <v>6</v>
      </c>
      <c r="AF44" s="15">
        <v>7</v>
      </c>
      <c r="AG44" s="15">
        <v>7</v>
      </c>
      <c r="AH44" s="15">
        <v>7</v>
      </c>
      <c r="AI44" s="15">
        <v>1</v>
      </c>
      <c r="AJ44" s="15">
        <v>8</v>
      </c>
      <c r="AK44" s="15">
        <v>7</v>
      </c>
      <c r="AL44" s="15">
        <v>6</v>
      </c>
      <c r="AM44" s="15">
        <v>12</v>
      </c>
      <c r="AN44" s="15">
        <v>16</v>
      </c>
      <c r="AO44" s="15">
        <v>6</v>
      </c>
      <c r="AP44" s="15">
        <v>13.000000000000002</v>
      </c>
      <c r="AQ44" s="15">
        <v>0</v>
      </c>
      <c r="AR44" s="15">
        <v>8</v>
      </c>
      <c r="AS44" s="15">
        <v>6</v>
      </c>
      <c r="AT44" s="16">
        <v>6</v>
      </c>
    </row>
    <row r="45" spans="1:46" x14ac:dyDescent="0.25">
      <c r="A45">
        <v>42</v>
      </c>
      <c r="B45" s="1" t="s">
        <v>41</v>
      </c>
      <c r="C45" s="14">
        <v>5</v>
      </c>
      <c r="D45" s="15">
        <v>15</v>
      </c>
      <c r="E45" s="15">
        <v>4</v>
      </c>
      <c r="F45" s="15">
        <v>9</v>
      </c>
      <c r="G45" s="15">
        <v>6</v>
      </c>
      <c r="H45" s="15">
        <v>8</v>
      </c>
      <c r="I45" s="15">
        <v>11</v>
      </c>
      <c r="J45" s="15">
        <v>10</v>
      </c>
      <c r="K45" s="15">
        <v>13.000000000000002</v>
      </c>
      <c r="L45" s="15">
        <v>15</v>
      </c>
      <c r="M45" s="15">
        <v>15</v>
      </c>
      <c r="N45" s="15">
        <v>22</v>
      </c>
      <c r="O45" s="15">
        <v>7</v>
      </c>
      <c r="P45" s="15">
        <v>4</v>
      </c>
      <c r="Q45" s="15">
        <v>8</v>
      </c>
      <c r="R45" s="15">
        <v>4</v>
      </c>
      <c r="S45" s="15">
        <v>9</v>
      </c>
      <c r="T45" s="15">
        <v>7</v>
      </c>
      <c r="U45" s="15">
        <v>8</v>
      </c>
      <c r="V45" s="15">
        <v>10</v>
      </c>
      <c r="W45" s="15">
        <v>7</v>
      </c>
      <c r="X45" s="15">
        <v>9</v>
      </c>
      <c r="Y45" s="15">
        <v>8</v>
      </c>
      <c r="Z45" s="15">
        <v>4</v>
      </c>
      <c r="AA45" s="15">
        <v>3</v>
      </c>
      <c r="AB45" s="15">
        <v>10</v>
      </c>
      <c r="AC45" s="15">
        <v>3</v>
      </c>
      <c r="AD45" s="15">
        <v>8</v>
      </c>
      <c r="AE45" s="15">
        <v>7</v>
      </c>
      <c r="AF45" s="15">
        <v>7</v>
      </c>
      <c r="AG45" s="15">
        <v>6</v>
      </c>
      <c r="AH45" s="15">
        <v>4</v>
      </c>
      <c r="AI45" s="15">
        <v>9</v>
      </c>
      <c r="AJ45" s="15">
        <v>2</v>
      </c>
      <c r="AK45" s="15">
        <v>14</v>
      </c>
      <c r="AL45" s="15">
        <v>4</v>
      </c>
      <c r="AM45" s="15">
        <v>16</v>
      </c>
      <c r="AN45" s="15">
        <v>20</v>
      </c>
      <c r="AO45" s="15">
        <v>6</v>
      </c>
      <c r="AP45" s="15">
        <v>15</v>
      </c>
      <c r="AQ45" s="15">
        <v>8</v>
      </c>
      <c r="AR45" s="15">
        <v>0</v>
      </c>
      <c r="AS45" s="15">
        <v>7</v>
      </c>
      <c r="AT45" s="16">
        <v>4</v>
      </c>
    </row>
    <row r="46" spans="1:46" x14ac:dyDescent="0.25">
      <c r="A46">
        <v>43</v>
      </c>
      <c r="B46" s="1" t="s">
        <v>42</v>
      </c>
      <c r="C46" s="14">
        <v>5</v>
      </c>
      <c r="D46" s="15">
        <v>18</v>
      </c>
      <c r="E46" s="15">
        <v>8</v>
      </c>
      <c r="F46" s="15">
        <v>7</v>
      </c>
      <c r="G46" s="15">
        <v>7</v>
      </c>
      <c r="H46" s="15">
        <v>6</v>
      </c>
      <c r="I46" s="15">
        <v>9</v>
      </c>
      <c r="J46" s="15">
        <v>12</v>
      </c>
      <c r="K46" s="15">
        <v>13.000000000000002</v>
      </c>
      <c r="L46" s="15">
        <v>17</v>
      </c>
      <c r="M46" s="15">
        <v>18</v>
      </c>
      <c r="N46" s="15">
        <v>22</v>
      </c>
      <c r="O46" s="15">
        <v>0</v>
      </c>
      <c r="P46" s="15">
        <v>8</v>
      </c>
      <c r="Q46" s="15">
        <v>10</v>
      </c>
      <c r="R46" s="15">
        <v>8</v>
      </c>
      <c r="S46" s="15">
        <v>6</v>
      </c>
      <c r="T46" s="15">
        <v>9</v>
      </c>
      <c r="U46" s="15">
        <v>5</v>
      </c>
      <c r="V46" s="15">
        <v>10</v>
      </c>
      <c r="W46" s="15">
        <v>7</v>
      </c>
      <c r="X46" s="15">
        <v>9</v>
      </c>
      <c r="Y46" s="15">
        <v>7</v>
      </c>
      <c r="Z46" s="15">
        <v>7</v>
      </c>
      <c r="AA46" s="15">
        <v>7</v>
      </c>
      <c r="AB46" s="15">
        <v>10</v>
      </c>
      <c r="AC46" s="15">
        <v>8</v>
      </c>
      <c r="AD46" s="15">
        <v>5</v>
      </c>
      <c r="AE46" s="15">
        <v>10</v>
      </c>
      <c r="AF46" s="15">
        <v>9</v>
      </c>
      <c r="AG46" s="15">
        <v>7</v>
      </c>
      <c r="AH46" s="15">
        <v>8</v>
      </c>
      <c r="AI46" s="15">
        <v>8</v>
      </c>
      <c r="AJ46" s="15">
        <v>10</v>
      </c>
      <c r="AK46" s="15">
        <v>12</v>
      </c>
      <c r="AL46" s="15">
        <v>8</v>
      </c>
      <c r="AM46" s="15">
        <v>17</v>
      </c>
      <c r="AN46" s="15">
        <v>20</v>
      </c>
      <c r="AO46" s="15">
        <v>8</v>
      </c>
      <c r="AP46" s="15">
        <v>17</v>
      </c>
      <c r="AQ46" s="15">
        <v>7</v>
      </c>
      <c r="AR46" s="15">
        <v>10</v>
      </c>
      <c r="AS46" s="15">
        <v>0</v>
      </c>
      <c r="AT46" s="16">
        <v>8</v>
      </c>
    </row>
    <row r="47" spans="1:46" x14ac:dyDescent="0.25">
      <c r="A47">
        <v>44</v>
      </c>
      <c r="B47" s="2" t="s">
        <v>43</v>
      </c>
      <c r="C47" s="17">
        <v>4</v>
      </c>
      <c r="D47" s="18">
        <v>14</v>
      </c>
      <c r="E47" s="18">
        <v>3</v>
      </c>
      <c r="F47" s="18">
        <v>5</v>
      </c>
      <c r="G47" s="18">
        <v>2</v>
      </c>
      <c r="H47" s="18">
        <v>5</v>
      </c>
      <c r="I47" s="18">
        <v>10</v>
      </c>
      <c r="J47" s="18">
        <v>8</v>
      </c>
      <c r="K47" s="18">
        <v>10</v>
      </c>
      <c r="L47" s="18">
        <v>14</v>
      </c>
      <c r="M47" s="18">
        <v>14</v>
      </c>
      <c r="N47" s="18">
        <v>18</v>
      </c>
      <c r="O47" s="18">
        <v>6</v>
      </c>
      <c r="P47" s="18">
        <v>3</v>
      </c>
      <c r="Q47" s="18">
        <v>7</v>
      </c>
      <c r="R47" s="18">
        <v>1</v>
      </c>
      <c r="S47" s="18">
        <v>7</v>
      </c>
      <c r="T47" s="18">
        <v>5</v>
      </c>
      <c r="U47" s="18">
        <v>5</v>
      </c>
      <c r="V47" s="18">
        <v>7</v>
      </c>
      <c r="W47" s="18">
        <v>3</v>
      </c>
      <c r="X47" s="18">
        <v>6</v>
      </c>
      <c r="Y47" s="18">
        <v>5</v>
      </c>
      <c r="Z47" s="18">
        <v>3</v>
      </c>
      <c r="AA47" s="18">
        <v>2</v>
      </c>
      <c r="AB47" s="18">
        <v>9</v>
      </c>
      <c r="AC47" s="18">
        <v>2</v>
      </c>
      <c r="AD47" s="18">
        <v>4</v>
      </c>
      <c r="AE47" s="18">
        <v>4</v>
      </c>
      <c r="AF47" s="18">
        <v>6</v>
      </c>
      <c r="AG47" s="18">
        <v>5</v>
      </c>
      <c r="AH47" s="18">
        <v>3</v>
      </c>
      <c r="AI47" s="18">
        <v>6</v>
      </c>
      <c r="AJ47" s="18">
        <v>2</v>
      </c>
      <c r="AK47" s="18">
        <v>11</v>
      </c>
      <c r="AL47" s="18">
        <v>3</v>
      </c>
      <c r="AM47" s="18">
        <v>13.000000000000002</v>
      </c>
      <c r="AN47" s="18">
        <v>16</v>
      </c>
      <c r="AO47" s="18">
        <v>5</v>
      </c>
      <c r="AP47" s="18">
        <v>13.000000000000002</v>
      </c>
      <c r="AQ47" s="18">
        <v>5</v>
      </c>
      <c r="AR47" s="18">
        <v>2</v>
      </c>
      <c r="AS47" s="18">
        <v>6</v>
      </c>
      <c r="AT47" s="19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3:X57"/>
  <sheetViews>
    <sheetView zoomScale="75" zoomScaleNormal="75" workbookViewId="0">
      <selection activeCell="E35" sqref="E35"/>
    </sheetView>
  </sheetViews>
  <sheetFormatPr defaultRowHeight="15" x14ac:dyDescent="0.25"/>
  <cols>
    <col min="2" max="2" width="3.7109375" bestFit="1" customWidth="1"/>
    <col min="3" max="3" width="14.42578125" bestFit="1" customWidth="1"/>
    <col min="4" max="4" width="11.5703125" style="30" bestFit="1" customWidth="1"/>
    <col min="5" max="5" width="11.28515625" style="30" bestFit="1" customWidth="1"/>
    <col min="6" max="6" width="6.7109375" style="30" bestFit="1" customWidth="1"/>
  </cols>
  <sheetData>
    <row r="3" spans="2:24" ht="18.75" x14ac:dyDescent="0.3">
      <c r="B3" s="46"/>
      <c r="C3" s="46"/>
      <c r="D3" s="102" t="s">
        <v>59</v>
      </c>
      <c r="E3" s="102"/>
      <c r="F3" s="102"/>
    </row>
    <row r="4" spans="2:24" x14ac:dyDescent="0.25">
      <c r="B4" s="47"/>
      <c r="C4" s="48"/>
      <c r="D4" s="78" t="s">
        <v>58</v>
      </c>
      <c r="E4" s="78" t="s">
        <v>57</v>
      </c>
      <c r="F4" s="78" t="s">
        <v>67</v>
      </c>
    </row>
    <row r="5" spans="2:24" x14ac:dyDescent="0.25">
      <c r="B5" s="103" t="s">
        <v>61</v>
      </c>
      <c r="C5" s="66" t="s">
        <v>52</v>
      </c>
      <c r="D5" s="67">
        <v>349</v>
      </c>
      <c r="E5" s="68">
        <v>339</v>
      </c>
      <c r="F5" s="69"/>
      <c r="G5" s="25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</row>
    <row r="6" spans="2:24" x14ac:dyDescent="0.25">
      <c r="B6" s="104"/>
      <c r="C6" s="70" t="s">
        <v>53</v>
      </c>
      <c r="D6" s="71">
        <v>354</v>
      </c>
      <c r="E6" s="72">
        <v>350</v>
      </c>
      <c r="F6" s="73"/>
      <c r="G6" s="25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</row>
    <row r="7" spans="2:24" x14ac:dyDescent="0.25">
      <c r="B7" s="104"/>
      <c r="C7" s="48" t="s">
        <v>55</v>
      </c>
      <c r="D7" s="58">
        <v>703</v>
      </c>
      <c r="E7" s="50">
        <v>689</v>
      </c>
      <c r="F7" s="61">
        <f t="shared" ref="F7" si="0">D7-E7</f>
        <v>14</v>
      </c>
      <c r="G7" s="25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</row>
    <row r="8" spans="2:24" x14ac:dyDescent="0.25">
      <c r="B8" s="104"/>
      <c r="C8" s="51" t="s">
        <v>45</v>
      </c>
      <c r="D8" s="58">
        <v>103</v>
      </c>
      <c r="E8" s="49">
        <v>105</v>
      </c>
      <c r="F8" s="61">
        <v>2</v>
      </c>
      <c r="G8" s="25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</row>
    <row r="9" spans="2:24" x14ac:dyDescent="0.25">
      <c r="B9" s="104"/>
      <c r="C9" s="51" t="s">
        <v>66</v>
      </c>
      <c r="D9" s="59">
        <f>D7/720</f>
        <v>0.97638888888888886</v>
      </c>
      <c r="E9" s="52">
        <f>E7/720</f>
        <v>0.95694444444444449</v>
      </c>
      <c r="F9" s="64">
        <f>-D9+E9</f>
        <v>-1.9444444444444375E-2</v>
      </c>
      <c r="G9" s="25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</row>
    <row r="10" spans="2:24" x14ac:dyDescent="0.25">
      <c r="B10" s="103" t="s">
        <v>62</v>
      </c>
      <c r="C10" s="66" t="s">
        <v>52</v>
      </c>
      <c r="D10" s="67">
        <v>466</v>
      </c>
      <c r="E10" s="68">
        <v>478</v>
      </c>
      <c r="F10" s="69"/>
      <c r="G10" s="25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</row>
    <row r="11" spans="2:24" x14ac:dyDescent="0.25">
      <c r="B11" s="104"/>
      <c r="C11" s="70" t="s">
        <v>53</v>
      </c>
      <c r="D11" s="71">
        <v>469</v>
      </c>
      <c r="E11" s="72">
        <v>464</v>
      </c>
      <c r="F11" s="73"/>
      <c r="G11" s="25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</row>
    <row r="12" spans="2:24" x14ac:dyDescent="0.25">
      <c r="B12" s="104"/>
      <c r="C12" s="48" t="s">
        <v>55</v>
      </c>
      <c r="D12" s="58">
        <v>935</v>
      </c>
      <c r="E12" s="50">
        <v>942</v>
      </c>
      <c r="F12" s="65">
        <f t="shared" ref="F12" si="1">D12-E12</f>
        <v>-7</v>
      </c>
      <c r="G12" s="25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</row>
    <row r="13" spans="2:24" x14ac:dyDescent="0.25">
      <c r="B13" s="104"/>
      <c r="C13" s="51" t="s">
        <v>45</v>
      </c>
      <c r="D13" s="58">
        <v>140</v>
      </c>
      <c r="E13" s="49">
        <v>141</v>
      </c>
      <c r="F13" s="61">
        <v>1</v>
      </c>
      <c r="G13" s="25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</row>
    <row r="14" spans="2:24" x14ac:dyDescent="0.25">
      <c r="B14" s="105"/>
      <c r="C14" s="54" t="s">
        <v>66</v>
      </c>
      <c r="D14" s="60">
        <f>D12/(2* 480)</f>
        <v>0.97395833333333337</v>
      </c>
      <c r="E14" s="55">
        <f>E12/(2* 480)</f>
        <v>0.98124999999999996</v>
      </c>
      <c r="F14" s="63">
        <f>-D14+E14</f>
        <v>7.2916666666665853E-3</v>
      </c>
      <c r="G14" s="25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</row>
    <row r="15" spans="2:24" x14ac:dyDescent="0.25">
      <c r="B15" s="106" t="s">
        <v>63</v>
      </c>
      <c r="C15" s="74" t="s">
        <v>52</v>
      </c>
      <c r="D15" s="71">
        <v>406</v>
      </c>
      <c r="E15" s="75">
        <v>402</v>
      </c>
      <c r="F15" s="76"/>
      <c r="G15" s="25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</row>
    <row r="16" spans="2:24" ht="14.45" customHeight="1" x14ac:dyDescent="0.25">
      <c r="B16" s="107"/>
      <c r="C16" s="48" t="s">
        <v>55</v>
      </c>
      <c r="D16" s="58">
        <v>406</v>
      </c>
      <c r="E16" s="49">
        <v>402</v>
      </c>
      <c r="F16" s="61">
        <f t="shared" ref="F16" si="2">D16-E16</f>
        <v>4</v>
      </c>
      <c r="G16" s="25"/>
      <c r="H16" s="35"/>
      <c r="I16" s="35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</row>
    <row r="17" spans="1:24" x14ac:dyDescent="0.25">
      <c r="B17" s="107"/>
      <c r="C17" s="48" t="s">
        <v>45</v>
      </c>
      <c r="D17" s="58">
        <v>86</v>
      </c>
      <c r="E17" s="49">
        <v>86</v>
      </c>
      <c r="F17" s="56">
        <f>D17-E17</f>
        <v>0</v>
      </c>
      <c r="G17" s="25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</row>
    <row r="18" spans="1:24" x14ac:dyDescent="0.25">
      <c r="B18" s="108"/>
      <c r="C18" s="51" t="s">
        <v>66</v>
      </c>
      <c r="D18" s="59">
        <f>D16/420</f>
        <v>0.96666666666666667</v>
      </c>
      <c r="E18" s="52">
        <f>E16/420</f>
        <v>0.95714285714285718</v>
      </c>
      <c r="F18" s="64">
        <f>-D18+E18</f>
        <v>-9.52380952380949E-3</v>
      </c>
      <c r="G18" s="25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</row>
    <row r="19" spans="1:24" x14ac:dyDescent="0.25">
      <c r="B19" s="103" t="s">
        <v>64</v>
      </c>
      <c r="C19" s="66" t="s">
        <v>52</v>
      </c>
      <c r="D19" s="67">
        <v>527</v>
      </c>
      <c r="E19" s="68">
        <v>515</v>
      </c>
      <c r="F19" s="69"/>
      <c r="G19" s="25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</row>
    <row r="20" spans="1:24" x14ac:dyDescent="0.25">
      <c r="B20" s="104"/>
      <c r="C20" s="70" t="s">
        <v>53</v>
      </c>
      <c r="D20" s="71">
        <v>525</v>
      </c>
      <c r="E20" s="72">
        <v>526</v>
      </c>
      <c r="F20" s="73"/>
      <c r="G20" s="25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</row>
    <row r="21" spans="1:24" x14ac:dyDescent="0.25">
      <c r="B21" s="104"/>
      <c r="C21" s="77" t="s">
        <v>54</v>
      </c>
      <c r="D21" s="71">
        <v>527</v>
      </c>
      <c r="E21" s="72">
        <v>515</v>
      </c>
      <c r="F21" s="73"/>
      <c r="G21" s="25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</row>
    <row r="22" spans="1:24" x14ac:dyDescent="0.25">
      <c r="B22" s="104"/>
      <c r="C22" s="51" t="s">
        <v>55</v>
      </c>
      <c r="D22" s="58">
        <v>1579</v>
      </c>
      <c r="E22" s="49">
        <v>1556</v>
      </c>
      <c r="F22" s="61">
        <f t="shared" ref="F22" si="3">D22-E22</f>
        <v>23</v>
      </c>
      <c r="G22" s="25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</row>
    <row r="23" spans="1:24" x14ac:dyDescent="0.25">
      <c r="B23" s="104"/>
      <c r="C23" s="51" t="s">
        <v>45</v>
      </c>
      <c r="D23" s="58">
        <v>168</v>
      </c>
      <c r="E23" s="49">
        <v>169</v>
      </c>
      <c r="F23" s="62">
        <v>1</v>
      </c>
      <c r="G23" s="25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</row>
    <row r="24" spans="1:24" x14ac:dyDescent="0.25">
      <c r="B24" s="104"/>
      <c r="C24" s="51" t="s">
        <v>66</v>
      </c>
      <c r="D24" s="59">
        <f>D22/(3*540)</f>
        <v>0.97469135802469131</v>
      </c>
      <c r="E24" s="52">
        <f>E22/(3*540)</f>
        <v>0.96049382716049381</v>
      </c>
      <c r="F24" s="64">
        <f>-D24+E24</f>
        <v>-1.4197530864197505E-2</v>
      </c>
      <c r="G24" s="25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</row>
    <row r="25" spans="1:24" ht="14.45" customHeight="1" x14ac:dyDescent="0.25">
      <c r="B25" s="103" t="s">
        <v>65</v>
      </c>
      <c r="C25" s="66" t="s">
        <v>52</v>
      </c>
      <c r="D25" s="67">
        <v>391</v>
      </c>
      <c r="E25" s="68">
        <v>406</v>
      </c>
      <c r="F25" s="69"/>
      <c r="G25" s="25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</row>
    <row r="26" spans="1:24" x14ac:dyDescent="0.25">
      <c r="B26" s="104"/>
      <c r="C26" s="70" t="s">
        <v>53</v>
      </c>
      <c r="D26" s="71">
        <v>408</v>
      </c>
      <c r="E26" s="72">
        <v>401</v>
      </c>
      <c r="F26" s="73"/>
      <c r="G26" s="25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</row>
    <row r="27" spans="1:24" x14ac:dyDescent="0.25">
      <c r="B27" s="104"/>
      <c r="C27" s="51" t="s">
        <v>55</v>
      </c>
      <c r="D27" s="58">
        <v>799</v>
      </c>
      <c r="E27" s="50">
        <v>807</v>
      </c>
      <c r="F27" s="65">
        <f t="shared" ref="F27" si="4">D27-E27</f>
        <v>-8</v>
      </c>
      <c r="G27" s="25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</row>
    <row r="28" spans="1:24" x14ac:dyDescent="0.25">
      <c r="B28" s="104"/>
      <c r="C28" s="51" t="s">
        <v>45</v>
      </c>
      <c r="D28" s="58">
        <v>112</v>
      </c>
      <c r="E28" s="49">
        <v>115</v>
      </c>
      <c r="F28" s="61">
        <v>3</v>
      </c>
      <c r="G28" s="25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</row>
    <row r="29" spans="1:24" x14ac:dyDescent="0.25">
      <c r="B29" s="105"/>
      <c r="C29" s="54" t="s">
        <v>66</v>
      </c>
      <c r="D29" s="60">
        <f>D27/(2*420)</f>
        <v>0.95119047619047614</v>
      </c>
      <c r="E29" s="55">
        <f>E27/(2*420)</f>
        <v>0.96071428571428574</v>
      </c>
      <c r="F29" s="63">
        <f>-D29+E29</f>
        <v>9.523809523809601E-3</v>
      </c>
      <c r="G29" s="25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</row>
    <row r="30" spans="1:24" x14ac:dyDescent="0.25">
      <c r="A30" s="25"/>
      <c r="B30" s="57"/>
      <c r="C30" s="53"/>
      <c r="D30" s="49"/>
      <c r="E30" s="49"/>
      <c r="F30" s="49"/>
      <c r="G30" s="25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</row>
    <row r="31" spans="1:24" x14ac:dyDescent="0.25">
      <c r="C31" s="25"/>
      <c r="D31" s="45"/>
      <c r="E31" s="45"/>
      <c r="F31" s="45"/>
      <c r="G31" s="2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</row>
    <row r="32" spans="1:24" x14ac:dyDescent="0.25">
      <c r="C32" s="25"/>
      <c r="D32" s="45"/>
      <c r="E32" s="45"/>
      <c r="F32" s="45"/>
      <c r="G32" s="25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</row>
    <row r="33" spans="3:24" x14ac:dyDescent="0.25">
      <c r="C33" s="25"/>
      <c r="D33" s="45"/>
      <c r="E33" s="45"/>
      <c r="F33" s="45"/>
      <c r="G33" s="25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</row>
    <row r="34" spans="3:24" x14ac:dyDescent="0.25">
      <c r="C34" s="25"/>
      <c r="D34" s="45"/>
      <c r="E34" s="45"/>
      <c r="F34" s="45"/>
      <c r="G34" s="25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</row>
    <row r="35" spans="3:24" x14ac:dyDescent="0.25"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</row>
    <row r="36" spans="3:24" x14ac:dyDescent="0.25"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</row>
    <row r="37" spans="3:24" x14ac:dyDescent="0.25"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</row>
    <row r="38" spans="3:24" x14ac:dyDescent="0.25"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</row>
    <row r="39" spans="3:24" x14ac:dyDescent="0.25"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</row>
    <row r="40" spans="3:24" x14ac:dyDescent="0.25"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</row>
    <row r="41" spans="3:24" x14ac:dyDescent="0.25"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</row>
    <row r="42" spans="3:24" x14ac:dyDescent="0.25"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</row>
    <row r="43" spans="3:24" x14ac:dyDescent="0.25"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</row>
    <row r="44" spans="3:24" x14ac:dyDescent="0.25"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</row>
    <row r="45" spans="3:24" x14ac:dyDescent="0.25"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</row>
    <row r="46" spans="3:24" x14ac:dyDescent="0.25"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</row>
    <row r="47" spans="3:24" x14ac:dyDescent="0.25"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</row>
    <row r="48" spans="3:24" x14ac:dyDescent="0.25"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</row>
    <row r="49" spans="10:24" x14ac:dyDescent="0.25"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</row>
    <row r="50" spans="10:24" x14ac:dyDescent="0.25"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</row>
    <row r="51" spans="10:24" x14ac:dyDescent="0.25"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</row>
    <row r="52" spans="10:24" x14ac:dyDescent="0.25"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</row>
    <row r="53" spans="10:24" x14ac:dyDescent="0.25"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</row>
    <row r="54" spans="10:24" x14ac:dyDescent="0.25"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</row>
    <row r="55" spans="10:24" x14ac:dyDescent="0.25"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</row>
    <row r="56" spans="10:24" x14ac:dyDescent="0.25"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</row>
    <row r="57" spans="10:24" x14ac:dyDescent="0.25"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</row>
  </sheetData>
  <mergeCells count="6">
    <mergeCell ref="D3:F3"/>
    <mergeCell ref="B5:B9"/>
    <mergeCell ref="B10:B14"/>
    <mergeCell ref="B19:B24"/>
    <mergeCell ref="B25:B29"/>
    <mergeCell ref="B15:B1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visitor 1</vt:lpstr>
      <vt:lpstr>visitor 2</vt:lpstr>
      <vt:lpstr>visitor 3</vt:lpstr>
      <vt:lpstr>visitor 4</vt:lpstr>
      <vt:lpstr>visitor 5</vt:lpstr>
      <vt:lpstr>Attractions and travelling time</vt:lpstr>
      <vt:lpstr>Figures</vt:lpstr>
    </vt:vector>
  </TitlesOfParts>
  <Company>University of Bath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Battarra</dc:creator>
  <cp:lastModifiedBy>samth</cp:lastModifiedBy>
  <dcterms:created xsi:type="dcterms:W3CDTF">2017-11-27T12:43:10Z</dcterms:created>
  <dcterms:modified xsi:type="dcterms:W3CDTF">2018-05-31T18:44:47Z</dcterms:modified>
</cp:coreProperties>
</file>